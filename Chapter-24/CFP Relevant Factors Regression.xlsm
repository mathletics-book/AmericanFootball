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lie/Desktop/Mathletics/"/>
    </mc:Choice>
  </mc:AlternateContent>
  <xr:revisionPtr revIDLastSave="0" documentId="13_ncr:1_{D118EAF2-3B8F-394A-B52C-0E09EF0CB541}" xr6:coauthVersionLast="40" xr6:coauthVersionMax="40" xr10:uidLastSave="{00000000-0000-0000-0000-000000000000}"/>
  <bookViews>
    <workbookView xWindow="0" yWindow="0" windowWidth="25600" windowHeight="16000" tabRatio="818" firstSheet="1" activeTab="16" xr2:uid="{00000000-000D-0000-FFFF-FFFF00000000}"/>
  </bookViews>
  <sheets>
    <sheet name="Defense Reduced Data" sheetId="33" r:id="rId1"/>
    <sheet name="Defense Regression" sheetId="32" r:id="rId2"/>
    <sheet name="ST Reduced Data" sheetId="16" r:id="rId3"/>
    <sheet name="ST Regression" sheetId="28" r:id="rId4"/>
    <sheet name="ST 2016" sheetId="17" state="hidden" r:id="rId5"/>
    <sheet name="ST 2015" sheetId="18" state="hidden" r:id="rId6"/>
    <sheet name="ST 2014" sheetId="19" state="hidden" r:id="rId7"/>
    <sheet name="ST 2013" sheetId="20" state="hidden" r:id="rId8"/>
    <sheet name="ST 2012" sheetId="21" state="hidden" r:id="rId9"/>
    <sheet name="ST 2011" sheetId="22" state="hidden" r:id="rId10"/>
    <sheet name="ST 2010" sheetId="23" state="hidden" r:id="rId11"/>
    <sheet name="ST 2009" sheetId="24" state="hidden" r:id="rId12"/>
    <sheet name="ST 2008" sheetId="25" state="hidden" r:id="rId13"/>
    <sheet name="Offense Reduced Data" sheetId="14" r:id="rId14"/>
    <sheet name="Offensive Regression" sheetId="29" r:id="rId15"/>
    <sheet name="Complete Reduced Data" sheetId="26" r:id="rId16"/>
    <sheet name="Complete Reduced Data Regressio" sheetId="45" r:id="rId17"/>
    <sheet name="Offense 2016" sheetId="4" state="hidden" r:id="rId18"/>
    <sheet name="Offense 2015" sheetId="5" state="hidden" r:id="rId19"/>
    <sheet name="Offense 2014" sheetId="6" state="hidden" r:id="rId20"/>
    <sheet name="Offense 2013" sheetId="7" state="hidden" r:id="rId21"/>
    <sheet name="Offense 2012" sheetId="8" state="hidden" r:id="rId22"/>
    <sheet name="Offense 2011" sheetId="9" state="hidden" r:id="rId23"/>
    <sheet name="Offense 2010" sheetId="10" state="hidden" r:id="rId24"/>
    <sheet name="Offense 2009" sheetId="11" state="hidden" r:id="rId25"/>
    <sheet name="Offense 2008" sheetId="12" state="hidden" r:id="rId2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" i="25" l="1"/>
  <c r="M26" i="25"/>
  <c r="L26" i="25"/>
  <c r="K26" i="25"/>
  <c r="J26" i="25"/>
  <c r="N25" i="25"/>
  <c r="M25" i="25"/>
  <c r="L25" i="25"/>
  <c r="K25" i="25"/>
  <c r="J25" i="25"/>
  <c r="N24" i="25"/>
  <c r="M24" i="25"/>
  <c r="L24" i="25"/>
  <c r="K24" i="25"/>
  <c r="J24" i="25"/>
  <c r="N23" i="25"/>
  <c r="M23" i="25"/>
  <c r="L23" i="25"/>
  <c r="K23" i="25"/>
  <c r="J23" i="25"/>
  <c r="N22" i="25"/>
  <c r="M22" i="25"/>
  <c r="L22" i="25"/>
  <c r="K22" i="25"/>
  <c r="J22" i="25"/>
  <c r="N21" i="25"/>
  <c r="M21" i="25"/>
  <c r="L21" i="25"/>
  <c r="K21" i="25"/>
  <c r="J21" i="25"/>
  <c r="N20" i="25"/>
  <c r="M20" i="25"/>
  <c r="L20" i="25"/>
  <c r="K20" i="25"/>
  <c r="J20" i="25"/>
  <c r="N19" i="25"/>
  <c r="M19" i="25"/>
  <c r="L19" i="25"/>
  <c r="K19" i="25"/>
  <c r="J19" i="25"/>
  <c r="N18" i="25"/>
  <c r="M18" i="25"/>
  <c r="L18" i="25"/>
  <c r="K18" i="25"/>
  <c r="J18" i="25"/>
  <c r="N17" i="25"/>
  <c r="M17" i="25"/>
  <c r="L17" i="25"/>
  <c r="K17" i="25"/>
  <c r="J17" i="25"/>
  <c r="N16" i="25"/>
  <c r="M16" i="25"/>
  <c r="L16" i="25"/>
  <c r="K16" i="25"/>
  <c r="J16" i="25"/>
  <c r="N15" i="25"/>
  <c r="M15" i="25"/>
  <c r="L15" i="25"/>
  <c r="K15" i="25"/>
  <c r="J15" i="25"/>
  <c r="N14" i="25"/>
  <c r="M14" i="25"/>
  <c r="L14" i="25"/>
  <c r="K14" i="25"/>
  <c r="J14" i="25"/>
  <c r="N13" i="25"/>
  <c r="M13" i="25"/>
  <c r="L13" i="25"/>
  <c r="K13" i="25"/>
  <c r="J13" i="25"/>
  <c r="N12" i="25"/>
  <c r="M12" i="25"/>
  <c r="L12" i="25"/>
  <c r="K12" i="25"/>
  <c r="J12" i="25"/>
  <c r="N11" i="25"/>
  <c r="M11" i="25"/>
  <c r="L11" i="25"/>
  <c r="K11" i="25"/>
  <c r="J11" i="25"/>
  <c r="N10" i="25"/>
  <c r="M10" i="25"/>
  <c r="L10" i="25"/>
  <c r="K10" i="25"/>
  <c r="J10" i="25"/>
  <c r="N9" i="25"/>
  <c r="M9" i="25"/>
  <c r="L9" i="25"/>
  <c r="K9" i="25"/>
  <c r="J9" i="25"/>
  <c r="N8" i="25"/>
  <c r="M8" i="25"/>
  <c r="L8" i="25"/>
  <c r="K8" i="25"/>
  <c r="J8" i="25"/>
  <c r="N7" i="25"/>
  <c r="M7" i="25"/>
  <c r="L7" i="25"/>
  <c r="K7" i="25"/>
  <c r="J7" i="25"/>
  <c r="N6" i="25"/>
  <c r="M6" i="25"/>
  <c r="L6" i="25"/>
  <c r="K6" i="25"/>
  <c r="J6" i="25"/>
  <c r="N5" i="25"/>
  <c r="M5" i="25"/>
  <c r="L5" i="25"/>
  <c r="K5" i="25"/>
  <c r="J5" i="25"/>
  <c r="N4" i="25"/>
  <c r="M4" i="25"/>
  <c r="L4" i="25"/>
  <c r="K4" i="25"/>
  <c r="J4" i="25"/>
  <c r="N3" i="25"/>
  <c r="M3" i="25"/>
  <c r="L3" i="25"/>
  <c r="K3" i="25"/>
  <c r="J3" i="25"/>
  <c r="N2" i="25"/>
  <c r="M2" i="25"/>
  <c r="L2" i="25"/>
  <c r="K2" i="25"/>
  <c r="J2" i="25"/>
  <c r="N26" i="24"/>
  <c r="M26" i="24"/>
  <c r="L26" i="24"/>
  <c r="K26" i="24"/>
  <c r="J26" i="24"/>
  <c r="N25" i="24"/>
  <c r="M25" i="24"/>
  <c r="L25" i="24"/>
  <c r="K25" i="24"/>
  <c r="J25" i="24"/>
  <c r="N24" i="24"/>
  <c r="M24" i="24"/>
  <c r="L24" i="24"/>
  <c r="K24" i="24"/>
  <c r="J24" i="24"/>
  <c r="N23" i="24"/>
  <c r="M23" i="24"/>
  <c r="L23" i="24"/>
  <c r="K23" i="24"/>
  <c r="J23" i="24"/>
  <c r="N22" i="24"/>
  <c r="M22" i="24"/>
  <c r="L22" i="24"/>
  <c r="K22" i="24"/>
  <c r="J22" i="24"/>
  <c r="N21" i="24"/>
  <c r="M21" i="24"/>
  <c r="L21" i="24"/>
  <c r="K21" i="24"/>
  <c r="J21" i="24"/>
  <c r="N20" i="24"/>
  <c r="M20" i="24"/>
  <c r="L20" i="24"/>
  <c r="K20" i="24"/>
  <c r="J20" i="24"/>
  <c r="N19" i="24"/>
  <c r="M19" i="24"/>
  <c r="L19" i="24"/>
  <c r="K19" i="24"/>
  <c r="J19" i="24"/>
  <c r="N18" i="24"/>
  <c r="M18" i="24"/>
  <c r="L18" i="24"/>
  <c r="K18" i="24"/>
  <c r="J18" i="24"/>
  <c r="N17" i="24"/>
  <c r="M17" i="24"/>
  <c r="L17" i="24"/>
  <c r="K17" i="24"/>
  <c r="J17" i="24"/>
  <c r="N16" i="24"/>
  <c r="M16" i="24"/>
  <c r="L16" i="24"/>
  <c r="K16" i="24"/>
  <c r="J16" i="24"/>
  <c r="N15" i="24"/>
  <c r="M15" i="24"/>
  <c r="L15" i="24"/>
  <c r="K15" i="24"/>
  <c r="J15" i="24"/>
  <c r="N14" i="24"/>
  <c r="M14" i="24"/>
  <c r="L14" i="24"/>
  <c r="K14" i="24"/>
  <c r="J14" i="24"/>
  <c r="N13" i="24"/>
  <c r="M13" i="24"/>
  <c r="L13" i="24"/>
  <c r="K13" i="24"/>
  <c r="J13" i="24"/>
  <c r="N12" i="24"/>
  <c r="M12" i="24"/>
  <c r="L12" i="24"/>
  <c r="K12" i="24"/>
  <c r="J12" i="24"/>
  <c r="N11" i="24"/>
  <c r="M11" i="24"/>
  <c r="L11" i="24"/>
  <c r="K11" i="24"/>
  <c r="J11" i="24"/>
  <c r="N10" i="24"/>
  <c r="M10" i="24"/>
  <c r="L10" i="24"/>
  <c r="K10" i="24"/>
  <c r="J10" i="24"/>
  <c r="N9" i="24"/>
  <c r="M9" i="24"/>
  <c r="L9" i="24"/>
  <c r="K9" i="24"/>
  <c r="J9" i="24"/>
  <c r="N8" i="24"/>
  <c r="M8" i="24"/>
  <c r="L8" i="24"/>
  <c r="K8" i="24"/>
  <c r="J8" i="24"/>
  <c r="N7" i="24"/>
  <c r="M7" i="24"/>
  <c r="L7" i="24"/>
  <c r="K7" i="24"/>
  <c r="J7" i="24"/>
  <c r="N6" i="24"/>
  <c r="M6" i="24"/>
  <c r="L6" i="24"/>
  <c r="K6" i="24"/>
  <c r="J6" i="24"/>
  <c r="N5" i="24"/>
  <c r="M5" i="24"/>
  <c r="L5" i="24"/>
  <c r="K5" i="24"/>
  <c r="J5" i="24"/>
  <c r="N4" i="24"/>
  <c r="M4" i="24"/>
  <c r="L4" i="24"/>
  <c r="K4" i="24"/>
  <c r="J4" i="24"/>
  <c r="N3" i="24"/>
  <c r="M3" i="24"/>
  <c r="L3" i="24"/>
  <c r="K3" i="24"/>
  <c r="J3" i="24"/>
  <c r="N2" i="24"/>
  <c r="M2" i="24"/>
  <c r="L2" i="24"/>
  <c r="K2" i="24"/>
  <c r="J2" i="24"/>
  <c r="N26" i="23"/>
  <c r="M26" i="23"/>
  <c r="L26" i="23"/>
  <c r="K26" i="23"/>
  <c r="J26" i="23"/>
  <c r="N25" i="23"/>
  <c r="M25" i="23"/>
  <c r="L25" i="23"/>
  <c r="K25" i="23"/>
  <c r="J25" i="23"/>
  <c r="N24" i="23"/>
  <c r="M24" i="23"/>
  <c r="L24" i="23"/>
  <c r="K24" i="23"/>
  <c r="J24" i="23"/>
  <c r="N23" i="23"/>
  <c r="M23" i="23"/>
  <c r="L23" i="23"/>
  <c r="K23" i="23"/>
  <c r="J23" i="23"/>
  <c r="N22" i="23"/>
  <c r="M22" i="23"/>
  <c r="L22" i="23"/>
  <c r="K22" i="23"/>
  <c r="J22" i="23"/>
  <c r="N21" i="23"/>
  <c r="M21" i="23"/>
  <c r="L21" i="23"/>
  <c r="K21" i="23"/>
  <c r="J21" i="23"/>
  <c r="N20" i="23"/>
  <c r="M20" i="23"/>
  <c r="L20" i="23"/>
  <c r="K20" i="23"/>
  <c r="J20" i="23"/>
  <c r="N19" i="23"/>
  <c r="M19" i="23"/>
  <c r="L19" i="23"/>
  <c r="K19" i="23"/>
  <c r="J19" i="23"/>
  <c r="N18" i="23"/>
  <c r="M18" i="23"/>
  <c r="L18" i="23"/>
  <c r="K18" i="23"/>
  <c r="J18" i="23"/>
  <c r="N17" i="23"/>
  <c r="M17" i="23"/>
  <c r="L17" i="23"/>
  <c r="K17" i="23"/>
  <c r="J17" i="23"/>
  <c r="N16" i="23"/>
  <c r="M16" i="23"/>
  <c r="L16" i="23"/>
  <c r="K16" i="23"/>
  <c r="J16" i="23"/>
  <c r="N15" i="23"/>
  <c r="M15" i="23"/>
  <c r="L15" i="23"/>
  <c r="K15" i="23"/>
  <c r="J15" i="23"/>
  <c r="N14" i="23"/>
  <c r="M14" i="23"/>
  <c r="L14" i="23"/>
  <c r="K14" i="23"/>
  <c r="J14" i="23"/>
  <c r="N13" i="23"/>
  <c r="M13" i="23"/>
  <c r="L13" i="23"/>
  <c r="K13" i="23"/>
  <c r="J13" i="23"/>
  <c r="N12" i="23"/>
  <c r="M12" i="23"/>
  <c r="L12" i="23"/>
  <c r="K12" i="23"/>
  <c r="J12" i="23"/>
  <c r="N11" i="23"/>
  <c r="M11" i="23"/>
  <c r="L11" i="23"/>
  <c r="K11" i="23"/>
  <c r="J11" i="23"/>
  <c r="N10" i="23"/>
  <c r="M10" i="23"/>
  <c r="L10" i="23"/>
  <c r="K10" i="23"/>
  <c r="J10" i="23"/>
  <c r="N9" i="23"/>
  <c r="M9" i="23"/>
  <c r="L9" i="23"/>
  <c r="K9" i="23"/>
  <c r="J9" i="23"/>
  <c r="N8" i="23"/>
  <c r="M8" i="23"/>
  <c r="L8" i="23"/>
  <c r="K8" i="23"/>
  <c r="J8" i="23"/>
  <c r="N7" i="23"/>
  <c r="M7" i="23"/>
  <c r="L7" i="23"/>
  <c r="K7" i="23"/>
  <c r="J7" i="23"/>
  <c r="N6" i="23"/>
  <c r="M6" i="23"/>
  <c r="L6" i="23"/>
  <c r="K6" i="23"/>
  <c r="J6" i="23"/>
  <c r="N5" i="23"/>
  <c r="M5" i="23"/>
  <c r="L5" i="23"/>
  <c r="K5" i="23"/>
  <c r="J5" i="23"/>
  <c r="N4" i="23"/>
  <c r="M4" i="23"/>
  <c r="L4" i="23"/>
  <c r="K4" i="23"/>
  <c r="J4" i="23"/>
  <c r="N3" i="23"/>
  <c r="M3" i="23"/>
  <c r="L3" i="23"/>
  <c r="K3" i="23"/>
  <c r="J3" i="23"/>
  <c r="N2" i="23"/>
  <c r="M2" i="23"/>
  <c r="L2" i="23"/>
  <c r="K2" i="23"/>
  <c r="J2" i="23"/>
  <c r="N26" i="22"/>
  <c r="M26" i="22"/>
  <c r="L26" i="22"/>
  <c r="K26" i="22"/>
  <c r="J26" i="22"/>
  <c r="N25" i="22"/>
  <c r="M25" i="22"/>
  <c r="L25" i="22"/>
  <c r="K25" i="22"/>
  <c r="J25" i="22"/>
  <c r="N24" i="22"/>
  <c r="M24" i="22"/>
  <c r="L24" i="22"/>
  <c r="K24" i="22"/>
  <c r="J24" i="22"/>
  <c r="N23" i="22"/>
  <c r="M23" i="22"/>
  <c r="L23" i="22"/>
  <c r="K23" i="22"/>
  <c r="J23" i="22"/>
  <c r="N22" i="22"/>
  <c r="M22" i="22"/>
  <c r="L22" i="22"/>
  <c r="K22" i="22"/>
  <c r="J22" i="22"/>
  <c r="N21" i="22"/>
  <c r="M21" i="22"/>
  <c r="L21" i="22"/>
  <c r="K21" i="22"/>
  <c r="J21" i="22"/>
  <c r="N20" i="22"/>
  <c r="M20" i="22"/>
  <c r="L20" i="22"/>
  <c r="K20" i="22"/>
  <c r="J20" i="22"/>
  <c r="N19" i="22"/>
  <c r="M19" i="22"/>
  <c r="L19" i="22"/>
  <c r="K19" i="22"/>
  <c r="J19" i="22"/>
  <c r="N18" i="22"/>
  <c r="M18" i="22"/>
  <c r="L18" i="22"/>
  <c r="K18" i="22"/>
  <c r="J18" i="22"/>
  <c r="N17" i="22"/>
  <c r="M17" i="22"/>
  <c r="L17" i="22"/>
  <c r="K17" i="22"/>
  <c r="J17" i="22"/>
  <c r="N16" i="22"/>
  <c r="M16" i="22"/>
  <c r="L16" i="22"/>
  <c r="K16" i="22"/>
  <c r="J16" i="22"/>
  <c r="N15" i="22"/>
  <c r="M15" i="22"/>
  <c r="L15" i="22"/>
  <c r="K15" i="22"/>
  <c r="J15" i="22"/>
  <c r="N14" i="22"/>
  <c r="M14" i="22"/>
  <c r="L14" i="22"/>
  <c r="K14" i="22"/>
  <c r="J14" i="22"/>
  <c r="N13" i="22"/>
  <c r="M13" i="22"/>
  <c r="L13" i="22"/>
  <c r="K13" i="22"/>
  <c r="J13" i="22"/>
  <c r="N12" i="22"/>
  <c r="M12" i="22"/>
  <c r="L12" i="22"/>
  <c r="K12" i="22"/>
  <c r="J12" i="22"/>
  <c r="N11" i="22"/>
  <c r="M11" i="22"/>
  <c r="L11" i="22"/>
  <c r="K11" i="22"/>
  <c r="J11" i="22"/>
  <c r="N10" i="22"/>
  <c r="M10" i="22"/>
  <c r="L10" i="22"/>
  <c r="K10" i="22"/>
  <c r="J10" i="22"/>
  <c r="N9" i="22"/>
  <c r="M9" i="22"/>
  <c r="L9" i="22"/>
  <c r="K9" i="22"/>
  <c r="J9" i="22"/>
  <c r="N8" i="22"/>
  <c r="M8" i="22"/>
  <c r="L8" i="22"/>
  <c r="K8" i="22"/>
  <c r="J8" i="22"/>
  <c r="N7" i="22"/>
  <c r="M7" i="22"/>
  <c r="L7" i="22"/>
  <c r="K7" i="22"/>
  <c r="J7" i="22"/>
  <c r="N6" i="22"/>
  <c r="M6" i="22"/>
  <c r="L6" i="22"/>
  <c r="K6" i="22"/>
  <c r="J6" i="22"/>
  <c r="N5" i="22"/>
  <c r="M5" i="22"/>
  <c r="L5" i="22"/>
  <c r="K5" i="22"/>
  <c r="J5" i="22"/>
  <c r="N4" i="22"/>
  <c r="M4" i="22"/>
  <c r="L4" i="22"/>
  <c r="K4" i="22"/>
  <c r="J4" i="22"/>
  <c r="N3" i="22"/>
  <c r="M3" i="22"/>
  <c r="L3" i="22"/>
  <c r="K3" i="22"/>
  <c r="J3" i="22"/>
  <c r="N2" i="22"/>
  <c r="M2" i="22"/>
  <c r="L2" i="22"/>
  <c r="K2" i="22"/>
  <c r="J2" i="22"/>
  <c r="N26" i="21"/>
  <c r="M26" i="21"/>
  <c r="L26" i="21"/>
  <c r="K26" i="21"/>
  <c r="J26" i="21"/>
  <c r="N25" i="21"/>
  <c r="M25" i="21"/>
  <c r="L25" i="21"/>
  <c r="K25" i="21"/>
  <c r="J25" i="21"/>
  <c r="N24" i="21"/>
  <c r="M24" i="21"/>
  <c r="L24" i="21"/>
  <c r="K24" i="21"/>
  <c r="J24" i="21"/>
  <c r="N23" i="21"/>
  <c r="M23" i="21"/>
  <c r="L23" i="21"/>
  <c r="K23" i="21"/>
  <c r="J23" i="21"/>
  <c r="N22" i="21"/>
  <c r="M22" i="21"/>
  <c r="L22" i="21"/>
  <c r="K22" i="21"/>
  <c r="J22" i="21"/>
  <c r="N21" i="21"/>
  <c r="M21" i="21"/>
  <c r="L21" i="21"/>
  <c r="K21" i="21"/>
  <c r="J21" i="21"/>
  <c r="N20" i="21"/>
  <c r="M20" i="21"/>
  <c r="L20" i="21"/>
  <c r="K20" i="21"/>
  <c r="J20" i="21"/>
  <c r="N19" i="21"/>
  <c r="M19" i="21"/>
  <c r="L19" i="21"/>
  <c r="K19" i="21"/>
  <c r="J19" i="21"/>
  <c r="N18" i="21"/>
  <c r="M18" i="21"/>
  <c r="L18" i="21"/>
  <c r="K18" i="21"/>
  <c r="J18" i="21"/>
  <c r="N17" i="21"/>
  <c r="M17" i="21"/>
  <c r="L17" i="21"/>
  <c r="K17" i="21"/>
  <c r="J17" i="21"/>
  <c r="N16" i="21"/>
  <c r="M16" i="21"/>
  <c r="L16" i="21"/>
  <c r="K16" i="21"/>
  <c r="J16" i="21"/>
  <c r="N15" i="21"/>
  <c r="M15" i="21"/>
  <c r="L15" i="21"/>
  <c r="K15" i="21"/>
  <c r="J15" i="21"/>
  <c r="N14" i="21"/>
  <c r="M14" i="21"/>
  <c r="L14" i="21"/>
  <c r="K14" i="21"/>
  <c r="J14" i="21"/>
  <c r="N13" i="21"/>
  <c r="M13" i="21"/>
  <c r="L13" i="21"/>
  <c r="K13" i="21"/>
  <c r="J13" i="21"/>
  <c r="N12" i="21"/>
  <c r="M12" i="21"/>
  <c r="L12" i="21"/>
  <c r="K12" i="21"/>
  <c r="J12" i="21"/>
  <c r="N11" i="21"/>
  <c r="M11" i="21"/>
  <c r="L11" i="21"/>
  <c r="K11" i="21"/>
  <c r="J11" i="21"/>
  <c r="N10" i="21"/>
  <c r="M10" i="21"/>
  <c r="L10" i="21"/>
  <c r="K10" i="21"/>
  <c r="J10" i="21"/>
  <c r="N9" i="21"/>
  <c r="M9" i="21"/>
  <c r="L9" i="21"/>
  <c r="K9" i="21"/>
  <c r="J9" i="21"/>
  <c r="N8" i="21"/>
  <c r="M8" i="21"/>
  <c r="L8" i="21"/>
  <c r="K8" i="21"/>
  <c r="J8" i="21"/>
  <c r="N7" i="21"/>
  <c r="M7" i="21"/>
  <c r="L7" i="21"/>
  <c r="K7" i="21"/>
  <c r="J7" i="21"/>
  <c r="N6" i="21"/>
  <c r="M6" i="21"/>
  <c r="L6" i="21"/>
  <c r="K6" i="21"/>
  <c r="J6" i="21"/>
  <c r="N5" i="21"/>
  <c r="M5" i="21"/>
  <c r="L5" i="21"/>
  <c r="K5" i="21"/>
  <c r="J5" i="21"/>
  <c r="N4" i="21"/>
  <c r="M4" i="21"/>
  <c r="L4" i="21"/>
  <c r="K4" i="21"/>
  <c r="J4" i="21"/>
  <c r="N3" i="21"/>
  <c r="M3" i="21"/>
  <c r="L3" i="21"/>
  <c r="K3" i="21"/>
  <c r="J3" i="21"/>
  <c r="N2" i="21"/>
  <c r="M2" i="21"/>
  <c r="L2" i="21"/>
  <c r="K2" i="21"/>
  <c r="J2" i="21"/>
  <c r="N26" i="20"/>
  <c r="M26" i="20"/>
  <c r="L26" i="20"/>
  <c r="K26" i="20"/>
  <c r="J26" i="20"/>
  <c r="N25" i="20"/>
  <c r="M25" i="20"/>
  <c r="L25" i="20"/>
  <c r="K25" i="20"/>
  <c r="J25" i="20"/>
  <c r="N24" i="20"/>
  <c r="M24" i="20"/>
  <c r="L24" i="20"/>
  <c r="K24" i="20"/>
  <c r="J24" i="20"/>
  <c r="N23" i="20"/>
  <c r="M23" i="20"/>
  <c r="L23" i="20"/>
  <c r="K23" i="20"/>
  <c r="J23" i="20"/>
  <c r="N22" i="20"/>
  <c r="M22" i="20"/>
  <c r="L22" i="20"/>
  <c r="K22" i="20"/>
  <c r="J22" i="20"/>
  <c r="N21" i="20"/>
  <c r="M21" i="20"/>
  <c r="L21" i="20"/>
  <c r="K21" i="20"/>
  <c r="J21" i="20"/>
  <c r="N20" i="20"/>
  <c r="M20" i="20"/>
  <c r="L20" i="20"/>
  <c r="K20" i="20"/>
  <c r="J20" i="20"/>
  <c r="N19" i="20"/>
  <c r="M19" i="20"/>
  <c r="L19" i="20"/>
  <c r="K19" i="20"/>
  <c r="J19" i="20"/>
  <c r="N18" i="20"/>
  <c r="M18" i="20"/>
  <c r="L18" i="20"/>
  <c r="K18" i="20"/>
  <c r="J18" i="20"/>
  <c r="N17" i="20"/>
  <c r="M17" i="20"/>
  <c r="L17" i="20"/>
  <c r="K17" i="20"/>
  <c r="J17" i="20"/>
  <c r="N16" i="20"/>
  <c r="M16" i="20"/>
  <c r="L16" i="20"/>
  <c r="K16" i="20"/>
  <c r="J16" i="20"/>
  <c r="N15" i="20"/>
  <c r="M15" i="20"/>
  <c r="L15" i="20"/>
  <c r="K15" i="20"/>
  <c r="J15" i="20"/>
  <c r="N14" i="20"/>
  <c r="M14" i="20"/>
  <c r="L14" i="20"/>
  <c r="K14" i="20"/>
  <c r="J14" i="20"/>
  <c r="N13" i="20"/>
  <c r="M13" i="20"/>
  <c r="L13" i="20"/>
  <c r="K13" i="20"/>
  <c r="J13" i="20"/>
  <c r="N12" i="20"/>
  <c r="M12" i="20"/>
  <c r="L12" i="20"/>
  <c r="K12" i="20"/>
  <c r="J12" i="20"/>
  <c r="N11" i="20"/>
  <c r="M11" i="20"/>
  <c r="L11" i="20"/>
  <c r="K11" i="20"/>
  <c r="J11" i="20"/>
  <c r="N10" i="20"/>
  <c r="M10" i="20"/>
  <c r="L10" i="20"/>
  <c r="K10" i="20"/>
  <c r="J10" i="20"/>
  <c r="N9" i="20"/>
  <c r="M9" i="20"/>
  <c r="L9" i="20"/>
  <c r="K9" i="20"/>
  <c r="J9" i="20"/>
  <c r="N8" i="20"/>
  <c r="M8" i="20"/>
  <c r="L8" i="20"/>
  <c r="K8" i="20"/>
  <c r="J8" i="20"/>
  <c r="N7" i="20"/>
  <c r="M7" i="20"/>
  <c r="L7" i="20"/>
  <c r="K7" i="20"/>
  <c r="J7" i="20"/>
  <c r="N6" i="20"/>
  <c r="M6" i="20"/>
  <c r="L6" i="20"/>
  <c r="K6" i="20"/>
  <c r="J6" i="20"/>
  <c r="N5" i="20"/>
  <c r="M5" i="20"/>
  <c r="L5" i="20"/>
  <c r="K5" i="20"/>
  <c r="J5" i="20"/>
  <c r="N4" i="20"/>
  <c r="M4" i="20"/>
  <c r="L4" i="20"/>
  <c r="K4" i="20"/>
  <c r="J4" i="20"/>
  <c r="N3" i="20"/>
  <c r="M3" i="20"/>
  <c r="L3" i="20"/>
  <c r="K3" i="20"/>
  <c r="J3" i="20"/>
  <c r="N2" i="20"/>
  <c r="M2" i="20"/>
  <c r="L2" i="20"/>
  <c r="K2" i="20"/>
  <c r="J2" i="20"/>
  <c r="N26" i="19"/>
  <c r="M26" i="19"/>
  <c r="L26" i="19"/>
  <c r="K26" i="19"/>
  <c r="J26" i="19"/>
  <c r="N25" i="19"/>
  <c r="M25" i="19"/>
  <c r="L25" i="19"/>
  <c r="K25" i="19"/>
  <c r="J25" i="19"/>
  <c r="N24" i="19"/>
  <c r="M24" i="19"/>
  <c r="L24" i="19"/>
  <c r="K24" i="19"/>
  <c r="J24" i="19"/>
  <c r="N23" i="19"/>
  <c r="M23" i="19"/>
  <c r="L23" i="19"/>
  <c r="K23" i="19"/>
  <c r="J23" i="19"/>
  <c r="N22" i="19"/>
  <c r="M22" i="19"/>
  <c r="L22" i="19"/>
  <c r="K22" i="19"/>
  <c r="J22" i="19"/>
  <c r="N21" i="19"/>
  <c r="M21" i="19"/>
  <c r="L21" i="19"/>
  <c r="K21" i="19"/>
  <c r="J21" i="19"/>
  <c r="N20" i="19"/>
  <c r="M20" i="19"/>
  <c r="L20" i="19"/>
  <c r="K20" i="19"/>
  <c r="J20" i="19"/>
  <c r="N19" i="19"/>
  <c r="M19" i="19"/>
  <c r="L19" i="19"/>
  <c r="K19" i="19"/>
  <c r="J19" i="19"/>
  <c r="N18" i="19"/>
  <c r="M18" i="19"/>
  <c r="L18" i="19"/>
  <c r="K18" i="19"/>
  <c r="J18" i="19"/>
  <c r="N17" i="19"/>
  <c r="M17" i="19"/>
  <c r="L17" i="19"/>
  <c r="K17" i="19"/>
  <c r="J17" i="19"/>
  <c r="N16" i="19"/>
  <c r="M16" i="19"/>
  <c r="L16" i="19"/>
  <c r="K16" i="19"/>
  <c r="J16" i="19"/>
  <c r="N15" i="19"/>
  <c r="M15" i="19"/>
  <c r="L15" i="19"/>
  <c r="K15" i="19"/>
  <c r="J15" i="19"/>
  <c r="N14" i="19"/>
  <c r="M14" i="19"/>
  <c r="L14" i="19"/>
  <c r="K14" i="19"/>
  <c r="J14" i="19"/>
  <c r="N13" i="19"/>
  <c r="M13" i="19"/>
  <c r="L13" i="19"/>
  <c r="K13" i="19"/>
  <c r="J13" i="19"/>
  <c r="N12" i="19"/>
  <c r="M12" i="19"/>
  <c r="L12" i="19"/>
  <c r="K12" i="19"/>
  <c r="J12" i="19"/>
  <c r="N11" i="19"/>
  <c r="M11" i="19"/>
  <c r="L11" i="19"/>
  <c r="K11" i="19"/>
  <c r="J11" i="19"/>
  <c r="N10" i="19"/>
  <c r="M10" i="19"/>
  <c r="L10" i="19"/>
  <c r="K10" i="19"/>
  <c r="J10" i="19"/>
  <c r="N9" i="19"/>
  <c r="M9" i="19"/>
  <c r="L9" i="19"/>
  <c r="K9" i="19"/>
  <c r="J9" i="19"/>
  <c r="N8" i="19"/>
  <c r="M8" i="19"/>
  <c r="L8" i="19"/>
  <c r="K8" i="19"/>
  <c r="J8" i="19"/>
  <c r="N7" i="19"/>
  <c r="M7" i="19"/>
  <c r="L7" i="19"/>
  <c r="K7" i="19"/>
  <c r="J7" i="19"/>
  <c r="N6" i="19"/>
  <c r="M6" i="19"/>
  <c r="L6" i="19"/>
  <c r="K6" i="19"/>
  <c r="J6" i="19"/>
  <c r="N5" i="19"/>
  <c r="M5" i="19"/>
  <c r="L5" i="19"/>
  <c r="K5" i="19"/>
  <c r="J5" i="19"/>
  <c r="N4" i="19"/>
  <c r="M4" i="19"/>
  <c r="L4" i="19"/>
  <c r="K4" i="19"/>
  <c r="J4" i="19"/>
  <c r="N3" i="19"/>
  <c r="M3" i="19"/>
  <c r="L3" i="19"/>
  <c r="K3" i="19"/>
  <c r="J3" i="19"/>
  <c r="N2" i="19"/>
  <c r="M2" i="19"/>
  <c r="L2" i="19"/>
  <c r="K2" i="19"/>
  <c r="J2" i="19"/>
  <c r="N26" i="18"/>
  <c r="M26" i="18"/>
  <c r="L26" i="18"/>
  <c r="K26" i="18"/>
  <c r="J26" i="18"/>
  <c r="N25" i="18"/>
  <c r="M25" i="18"/>
  <c r="L25" i="18"/>
  <c r="K25" i="18"/>
  <c r="J25" i="18"/>
  <c r="N24" i="18"/>
  <c r="M24" i="18"/>
  <c r="L24" i="18"/>
  <c r="K24" i="18"/>
  <c r="J24" i="18"/>
  <c r="N23" i="18"/>
  <c r="M23" i="18"/>
  <c r="L23" i="18"/>
  <c r="K23" i="18"/>
  <c r="J23" i="18"/>
  <c r="N22" i="18"/>
  <c r="M22" i="18"/>
  <c r="L22" i="18"/>
  <c r="K22" i="18"/>
  <c r="J22" i="18"/>
  <c r="N21" i="18"/>
  <c r="M21" i="18"/>
  <c r="L21" i="18"/>
  <c r="K21" i="18"/>
  <c r="J21" i="18"/>
  <c r="N20" i="18"/>
  <c r="M20" i="18"/>
  <c r="L20" i="18"/>
  <c r="K20" i="18"/>
  <c r="J20" i="18"/>
  <c r="N19" i="18"/>
  <c r="M19" i="18"/>
  <c r="L19" i="18"/>
  <c r="K19" i="18"/>
  <c r="J19" i="18"/>
  <c r="N18" i="18"/>
  <c r="M18" i="18"/>
  <c r="L18" i="18"/>
  <c r="K18" i="18"/>
  <c r="J18" i="18"/>
  <c r="N17" i="18"/>
  <c r="M17" i="18"/>
  <c r="L17" i="18"/>
  <c r="K17" i="18"/>
  <c r="J17" i="18"/>
  <c r="N16" i="18"/>
  <c r="M16" i="18"/>
  <c r="L16" i="18"/>
  <c r="K16" i="18"/>
  <c r="J16" i="18"/>
  <c r="N15" i="18"/>
  <c r="M15" i="18"/>
  <c r="L15" i="18"/>
  <c r="K15" i="18"/>
  <c r="J15" i="18"/>
  <c r="N14" i="18"/>
  <c r="M14" i="18"/>
  <c r="L14" i="18"/>
  <c r="K14" i="18"/>
  <c r="J14" i="18"/>
  <c r="N13" i="18"/>
  <c r="M13" i="18"/>
  <c r="L13" i="18"/>
  <c r="K13" i="18"/>
  <c r="J13" i="18"/>
  <c r="N12" i="18"/>
  <c r="M12" i="18"/>
  <c r="L12" i="18"/>
  <c r="K12" i="18"/>
  <c r="J12" i="18"/>
  <c r="N11" i="18"/>
  <c r="M11" i="18"/>
  <c r="L11" i="18"/>
  <c r="K11" i="18"/>
  <c r="J11" i="18"/>
  <c r="N10" i="18"/>
  <c r="M10" i="18"/>
  <c r="L10" i="18"/>
  <c r="K10" i="18"/>
  <c r="J10" i="18"/>
  <c r="N9" i="18"/>
  <c r="M9" i="18"/>
  <c r="L9" i="18"/>
  <c r="K9" i="18"/>
  <c r="J9" i="18"/>
  <c r="N8" i="18"/>
  <c r="M8" i="18"/>
  <c r="L8" i="18"/>
  <c r="K8" i="18"/>
  <c r="J8" i="18"/>
  <c r="N7" i="18"/>
  <c r="M7" i="18"/>
  <c r="L7" i="18"/>
  <c r="K7" i="18"/>
  <c r="J7" i="18"/>
  <c r="N6" i="18"/>
  <c r="M6" i="18"/>
  <c r="L6" i="18"/>
  <c r="K6" i="18"/>
  <c r="J6" i="18"/>
  <c r="N5" i="18"/>
  <c r="M5" i="18"/>
  <c r="L5" i="18"/>
  <c r="K5" i="18"/>
  <c r="J5" i="18"/>
  <c r="N4" i="18"/>
  <c r="M4" i="18"/>
  <c r="L4" i="18"/>
  <c r="K4" i="18"/>
  <c r="J4" i="18"/>
  <c r="N3" i="18"/>
  <c r="M3" i="18"/>
  <c r="L3" i="18"/>
  <c r="K3" i="18"/>
  <c r="J3" i="18"/>
  <c r="N2" i="18"/>
  <c r="M2" i="18"/>
  <c r="L2" i="18"/>
  <c r="K2" i="18"/>
  <c r="J2" i="18"/>
  <c r="N26" i="17"/>
  <c r="M26" i="17"/>
  <c r="L26" i="17"/>
  <c r="K26" i="17"/>
  <c r="J26" i="17"/>
  <c r="N25" i="17"/>
  <c r="M25" i="17"/>
  <c r="L25" i="17"/>
  <c r="K25" i="17"/>
  <c r="J25" i="17"/>
  <c r="N24" i="17"/>
  <c r="M24" i="17"/>
  <c r="L24" i="17"/>
  <c r="K24" i="17"/>
  <c r="J24" i="17"/>
  <c r="N23" i="17"/>
  <c r="M23" i="17"/>
  <c r="L23" i="17"/>
  <c r="K23" i="17"/>
  <c r="J23" i="17"/>
  <c r="N22" i="17"/>
  <c r="M22" i="17"/>
  <c r="L22" i="17"/>
  <c r="K22" i="17"/>
  <c r="J22" i="17"/>
  <c r="N21" i="17"/>
  <c r="M21" i="17"/>
  <c r="L21" i="17"/>
  <c r="K21" i="17"/>
  <c r="J21" i="17"/>
  <c r="N20" i="17"/>
  <c r="M20" i="17"/>
  <c r="L20" i="17"/>
  <c r="K20" i="17"/>
  <c r="J20" i="17"/>
  <c r="N19" i="17"/>
  <c r="M19" i="17"/>
  <c r="L19" i="17"/>
  <c r="K19" i="17"/>
  <c r="J19" i="17"/>
  <c r="N18" i="17"/>
  <c r="M18" i="17"/>
  <c r="L18" i="17"/>
  <c r="K18" i="17"/>
  <c r="J18" i="17"/>
  <c r="N17" i="17"/>
  <c r="M17" i="17"/>
  <c r="L17" i="17"/>
  <c r="K17" i="17"/>
  <c r="J17" i="17"/>
  <c r="N16" i="17"/>
  <c r="M16" i="17"/>
  <c r="L16" i="17"/>
  <c r="K16" i="17"/>
  <c r="J16" i="17"/>
  <c r="N15" i="17"/>
  <c r="M15" i="17"/>
  <c r="L15" i="17"/>
  <c r="K15" i="17"/>
  <c r="J15" i="17"/>
  <c r="N14" i="17"/>
  <c r="M14" i="17"/>
  <c r="L14" i="17"/>
  <c r="K14" i="17"/>
  <c r="J14" i="17"/>
  <c r="N13" i="17"/>
  <c r="M13" i="17"/>
  <c r="L13" i="17"/>
  <c r="K13" i="17"/>
  <c r="J13" i="17"/>
  <c r="N12" i="17"/>
  <c r="M12" i="17"/>
  <c r="L12" i="17"/>
  <c r="K12" i="17"/>
  <c r="J12" i="17"/>
  <c r="N11" i="17"/>
  <c r="M11" i="17"/>
  <c r="L11" i="17"/>
  <c r="K11" i="17"/>
  <c r="J11" i="17"/>
  <c r="N10" i="17"/>
  <c r="M10" i="17"/>
  <c r="L10" i="17"/>
  <c r="K10" i="17"/>
  <c r="J10" i="17"/>
  <c r="N9" i="17"/>
  <c r="M9" i="17"/>
  <c r="L9" i="17"/>
  <c r="K9" i="17"/>
  <c r="J9" i="17"/>
  <c r="N8" i="17"/>
  <c r="M8" i="17"/>
  <c r="L8" i="17"/>
  <c r="K8" i="17"/>
  <c r="J8" i="17"/>
  <c r="N7" i="17"/>
  <c r="M7" i="17"/>
  <c r="L7" i="17"/>
  <c r="K7" i="17"/>
  <c r="J7" i="17"/>
  <c r="N6" i="17"/>
  <c r="M6" i="17"/>
  <c r="L6" i="17"/>
  <c r="K6" i="17"/>
  <c r="J6" i="17"/>
  <c r="N5" i="17"/>
  <c r="M5" i="17"/>
  <c r="L5" i="17"/>
  <c r="K5" i="17"/>
  <c r="J5" i="17"/>
  <c r="N4" i="17"/>
  <c r="M4" i="17"/>
  <c r="L4" i="17"/>
  <c r="K4" i="17"/>
  <c r="J4" i="17"/>
  <c r="N3" i="17"/>
  <c r="M3" i="17"/>
  <c r="L3" i="17"/>
  <c r="K3" i="17"/>
  <c r="J3" i="17"/>
  <c r="N2" i="17"/>
  <c r="M2" i="17"/>
  <c r="L2" i="17"/>
  <c r="K2" i="17"/>
  <c r="J2" i="17"/>
  <c r="O2" i="4" l="1"/>
  <c r="K3" i="12"/>
  <c r="L3" i="12"/>
  <c r="M3" i="12"/>
  <c r="N3" i="12"/>
  <c r="O3" i="12"/>
  <c r="P3" i="12"/>
  <c r="K4" i="12"/>
  <c r="L4" i="12"/>
  <c r="M4" i="12"/>
  <c r="N4" i="12"/>
  <c r="O4" i="12"/>
  <c r="P4" i="12"/>
  <c r="K5" i="12"/>
  <c r="L5" i="12"/>
  <c r="M5" i="12"/>
  <c r="N5" i="12"/>
  <c r="O5" i="12"/>
  <c r="P5" i="12"/>
  <c r="K6" i="12"/>
  <c r="L6" i="12"/>
  <c r="M6" i="12"/>
  <c r="N6" i="12"/>
  <c r="O6" i="12"/>
  <c r="P6" i="12"/>
  <c r="K7" i="12"/>
  <c r="L7" i="12"/>
  <c r="M7" i="12"/>
  <c r="N7" i="12"/>
  <c r="O7" i="12"/>
  <c r="P7" i="12"/>
  <c r="K8" i="12"/>
  <c r="L8" i="12"/>
  <c r="M8" i="12"/>
  <c r="N8" i="12"/>
  <c r="O8" i="12"/>
  <c r="P8" i="12"/>
  <c r="K9" i="12"/>
  <c r="L9" i="12"/>
  <c r="M9" i="12"/>
  <c r="N9" i="12"/>
  <c r="O9" i="12"/>
  <c r="P9" i="12"/>
  <c r="K10" i="12"/>
  <c r="L10" i="12"/>
  <c r="M10" i="12"/>
  <c r="N10" i="12"/>
  <c r="O10" i="12"/>
  <c r="P10" i="12"/>
  <c r="K11" i="12"/>
  <c r="L11" i="12"/>
  <c r="M11" i="12"/>
  <c r="N11" i="12"/>
  <c r="O11" i="12"/>
  <c r="P11" i="12"/>
  <c r="K12" i="12"/>
  <c r="L12" i="12"/>
  <c r="M12" i="12"/>
  <c r="N12" i="12"/>
  <c r="O12" i="12"/>
  <c r="P12" i="12"/>
  <c r="K13" i="12"/>
  <c r="L13" i="12"/>
  <c r="M13" i="12"/>
  <c r="N13" i="12"/>
  <c r="O13" i="12"/>
  <c r="P13" i="12"/>
  <c r="K14" i="12"/>
  <c r="L14" i="12"/>
  <c r="M14" i="12"/>
  <c r="N14" i="12"/>
  <c r="O14" i="12"/>
  <c r="P14" i="12"/>
  <c r="K15" i="12"/>
  <c r="L15" i="12"/>
  <c r="M15" i="12"/>
  <c r="N15" i="12"/>
  <c r="O15" i="12"/>
  <c r="P15" i="12"/>
  <c r="K16" i="12"/>
  <c r="L16" i="12"/>
  <c r="M16" i="12"/>
  <c r="N16" i="12"/>
  <c r="O16" i="12"/>
  <c r="P16" i="12"/>
  <c r="K17" i="12"/>
  <c r="L17" i="12"/>
  <c r="M17" i="12"/>
  <c r="N17" i="12"/>
  <c r="O17" i="12"/>
  <c r="P17" i="12"/>
  <c r="K18" i="12"/>
  <c r="L18" i="12"/>
  <c r="M18" i="12"/>
  <c r="N18" i="12"/>
  <c r="O18" i="12"/>
  <c r="P18" i="12"/>
  <c r="K19" i="12"/>
  <c r="L19" i="12"/>
  <c r="M19" i="12"/>
  <c r="N19" i="12"/>
  <c r="O19" i="12"/>
  <c r="P19" i="12"/>
  <c r="K20" i="12"/>
  <c r="L20" i="12"/>
  <c r="M20" i="12"/>
  <c r="N20" i="12"/>
  <c r="O20" i="12"/>
  <c r="P20" i="12"/>
  <c r="K21" i="12"/>
  <c r="L21" i="12"/>
  <c r="M21" i="12"/>
  <c r="N21" i="12"/>
  <c r="O21" i="12"/>
  <c r="P21" i="12"/>
  <c r="K22" i="12"/>
  <c r="L22" i="12"/>
  <c r="M22" i="12"/>
  <c r="N22" i="12"/>
  <c r="O22" i="12"/>
  <c r="P22" i="12"/>
  <c r="K23" i="12"/>
  <c r="L23" i="12"/>
  <c r="M23" i="12"/>
  <c r="N23" i="12"/>
  <c r="O23" i="12"/>
  <c r="P23" i="12"/>
  <c r="K24" i="12"/>
  <c r="L24" i="12"/>
  <c r="M24" i="12"/>
  <c r="N24" i="12"/>
  <c r="O24" i="12"/>
  <c r="P24" i="12"/>
  <c r="K25" i="12"/>
  <c r="L25" i="12"/>
  <c r="M25" i="12"/>
  <c r="N25" i="12"/>
  <c r="O25" i="12"/>
  <c r="P25" i="12"/>
  <c r="K26" i="12"/>
  <c r="L26" i="12"/>
  <c r="M26" i="12"/>
  <c r="N26" i="12"/>
  <c r="O26" i="12"/>
  <c r="P26" i="12"/>
  <c r="P2" i="12"/>
  <c r="O2" i="12"/>
  <c r="N2" i="12"/>
  <c r="M2" i="12"/>
  <c r="L2" i="12"/>
  <c r="K2" i="12"/>
  <c r="K3" i="11"/>
  <c r="L3" i="11"/>
  <c r="M3" i="11"/>
  <c r="N3" i="11"/>
  <c r="O3" i="11"/>
  <c r="P3" i="11"/>
  <c r="K4" i="11"/>
  <c r="L4" i="11"/>
  <c r="M4" i="11"/>
  <c r="N4" i="11"/>
  <c r="O4" i="11"/>
  <c r="P4" i="11"/>
  <c r="K5" i="11"/>
  <c r="L5" i="11"/>
  <c r="M5" i="11"/>
  <c r="N5" i="11"/>
  <c r="O5" i="11"/>
  <c r="P5" i="11"/>
  <c r="K6" i="11"/>
  <c r="L6" i="11"/>
  <c r="M6" i="11"/>
  <c r="N6" i="11"/>
  <c r="O6" i="11"/>
  <c r="P6" i="11"/>
  <c r="K7" i="11"/>
  <c r="L7" i="11"/>
  <c r="M7" i="11"/>
  <c r="N7" i="11"/>
  <c r="O7" i="11"/>
  <c r="P7" i="11"/>
  <c r="K8" i="11"/>
  <c r="L8" i="11"/>
  <c r="M8" i="11"/>
  <c r="N8" i="11"/>
  <c r="O8" i="11"/>
  <c r="P8" i="11"/>
  <c r="K9" i="11"/>
  <c r="L9" i="11"/>
  <c r="M9" i="11"/>
  <c r="N9" i="11"/>
  <c r="O9" i="11"/>
  <c r="P9" i="11"/>
  <c r="K10" i="11"/>
  <c r="L10" i="11"/>
  <c r="M10" i="11"/>
  <c r="N10" i="11"/>
  <c r="O10" i="11"/>
  <c r="P10" i="11"/>
  <c r="K11" i="11"/>
  <c r="L11" i="11"/>
  <c r="M11" i="11"/>
  <c r="N11" i="11"/>
  <c r="O11" i="11"/>
  <c r="P11" i="11"/>
  <c r="K12" i="11"/>
  <c r="L12" i="11"/>
  <c r="M12" i="11"/>
  <c r="N12" i="11"/>
  <c r="O12" i="11"/>
  <c r="P12" i="11"/>
  <c r="K13" i="11"/>
  <c r="L13" i="11"/>
  <c r="M13" i="11"/>
  <c r="N13" i="11"/>
  <c r="O13" i="11"/>
  <c r="P13" i="11"/>
  <c r="K14" i="11"/>
  <c r="L14" i="11"/>
  <c r="M14" i="11"/>
  <c r="N14" i="11"/>
  <c r="O14" i="11"/>
  <c r="P14" i="11"/>
  <c r="K15" i="11"/>
  <c r="L15" i="11"/>
  <c r="M15" i="11"/>
  <c r="N15" i="11"/>
  <c r="O15" i="11"/>
  <c r="P15" i="11"/>
  <c r="K16" i="11"/>
  <c r="L16" i="11"/>
  <c r="M16" i="11"/>
  <c r="N16" i="11"/>
  <c r="O16" i="11"/>
  <c r="P16" i="11"/>
  <c r="K17" i="11"/>
  <c r="L17" i="11"/>
  <c r="M17" i="11"/>
  <c r="N17" i="11"/>
  <c r="O17" i="11"/>
  <c r="P17" i="11"/>
  <c r="K18" i="11"/>
  <c r="L18" i="11"/>
  <c r="M18" i="11"/>
  <c r="N18" i="11"/>
  <c r="O18" i="11"/>
  <c r="P18" i="11"/>
  <c r="K19" i="11"/>
  <c r="L19" i="11"/>
  <c r="M19" i="11"/>
  <c r="N19" i="11"/>
  <c r="O19" i="11"/>
  <c r="P19" i="11"/>
  <c r="K20" i="11"/>
  <c r="L20" i="11"/>
  <c r="M20" i="11"/>
  <c r="N20" i="11"/>
  <c r="O20" i="11"/>
  <c r="P20" i="11"/>
  <c r="K21" i="11"/>
  <c r="L21" i="11"/>
  <c r="M21" i="11"/>
  <c r="N21" i="11"/>
  <c r="O21" i="11"/>
  <c r="P21" i="11"/>
  <c r="K22" i="11"/>
  <c r="L22" i="11"/>
  <c r="M22" i="11"/>
  <c r="N22" i="11"/>
  <c r="O22" i="11"/>
  <c r="P22" i="11"/>
  <c r="K23" i="11"/>
  <c r="L23" i="11"/>
  <c r="M23" i="11"/>
  <c r="N23" i="11"/>
  <c r="O23" i="11"/>
  <c r="P23" i="11"/>
  <c r="K24" i="11"/>
  <c r="L24" i="11"/>
  <c r="M24" i="11"/>
  <c r="N24" i="11"/>
  <c r="O24" i="11"/>
  <c r="P24" i="11"/>
  <c r="K25" i="11"/>
  <c r="L25" i="11"/>
  <c r="M25" i="11"/>
  <c r="N25" i="11"/>
  <c r="O25" i="11"/>
  <c r="P25" i="11"/>
  <c r="K26" i="11"/>
  <c r="L26" i="11"/>
  <c r="M26" i="11"/>
  <c r="N26" i="11"/>
  <c r="O26" i="11"/>
  <c r="P26" i="11"/>
  <c r="P2" i="11"/>
  <c r="O2" i="11"/>
  <c r="N2" i="11"/>
  <c r="M2" i="11"/>
  <c r="L2" i="11"/>
  <c r="K2" i="11"/>
  <c r="K3" i="10"/>
  <c r="L3" i="10"/>
  <c r="M3" i="10"/>
  <c r="N3" i="10"/>
  <c r="O3" i="10"/>
  <c r="P3" i="10"/>
  <c r="K4" i="10"/>
  <c r="L4" i="10"/>
  <c r="M4" i="10"/>
  <c r="N4" i="10"/>
  <c r="O4" i="10"/>
  <c r="P4" i="10"/>
  <c r="K5" i="10"/>
  <c r="L5" i="10"/>
  <c r="M5" i="10"/>
  <c r="N5" i="10"/>
  <c r="O5" i="10"/>
  <c r="P5" i="10"/>
  <c r="K6" i="10"/>
  <c r="L6" i="10"/>
  <c r="M6" i="10"/>
  <c r="N6" i="10"/>
  <c r="O6" i="10"/>
  <c r="P6" i="10"/>
  <c r="K7" i="10"/>
  <c r="L7" i="10"/>
  <c r="M7" i="10"/>
  <c r="N7" i="10"/>
  <c r="O7" i="10"/>
  <c r="P7" i="10"/>
  <c r="K8" i="10"/>
  <c r="L8" i="10"/>
  <c r="M8" i="10"/>
  <c r="N8" i="10"/>
  <c r="O8" i="10"/>
  <c r="P8" i="10"/>
  <c r="K9" i="10"/>
  <c r="L9" i="10"/>
  <c r="M9" i="10"/>
  <c r="N9" i="10"/>
  <c r="O9" i="10"/>
  <c r="P9" i="10"/>
  <c r="K10" i="10"/>
  <c r="L10" i="10"/>
  <c r="M10" i="10"/>
  <c r="N10" i="10"/>
  <c r="O10" i="10"/>
  <c r="P10" i="10"/>
  <c r="K11" i="10"/>
  <c r="L11" i="10"/>
  <c r="M11" i="10"/>
  <c r="N11" i="10"/>
  <c r="O11" i="10"/>
  <c r="P11" i="10"/>
  <c r="K12" i="10"/>
  <c r="L12" i="10"/>
  <c r="M12" i="10"/>
  <c r="N12" i="10"/>
  <c r="O12" i="10"/>
  <c r="P12" i="10"/>
  <c r="K13" i="10"/>
  <c r="L13" i="10"/>
  <c r="M13" i="10"/>
  <c r="N13" i="10"/>
  <c r="O13" i="10"/>
  <c r="P13" i="10"/>
  <c r="K14" i="10"/>
  <c r="L14" i="10"/>
  <c r="M14" i="10"/>
  <c r="N14" i="10"/>
  <c r="O14" i="10"/>
  <c r="P14" i="10"/>
  <c r="K15" i="10"/>
  <c r="L15" i="10"/>
  <c r="M15" i="10"/>
  <c r="N15" i="10"/>
  <c r="O15" i="10"/>
  <c r="P15" i="10"/>
  <c r="K16" i="10"/>
  <c r="L16" i="10"/>
  <c r="M16" i="10"/>
  <c r="N16" i="10"/>
  <c r="O16" i="10"/>
  <c r="P16" i="10"/>
  <c r="K17" i="10"/>
  <c r="L17" i="10"/>
  <c r="M17" i="10"/>
  <c r="N17" i="10"/>
  <c r="O17" i="10"/>
  <c r="P17" i="10"/>
  <c r="K18" i="10"/>
  <c r="L18" i="10"/>
  <c r="M18" i="10"/>
  <c r="N18" i="10"/>
  <c r="O18" i="10"/>
  <c r="P18" i="10"/>
  <c r="K19" i="10"/>
  <c r="L19" i="10"/>
  <c r="M19" i="10"/>
  <c r="N19" i="10"/>
  <c r="O19" i="10"/>
  <c r="P19" i="10"/>
  <c r="K20" i="10"/>
  <c r="L20" i="10"/>
  <c r="M20" i="10"/>
  <c r="N20" i="10"/>
  <c r="O20" i="10"/>
  <c r="P20" i="10"/>
  <c r="K21" i="10"/>
  <c r="L21" i="10"/>
  <c r="M21" i="10"/>
  <c r="N21" i="10"/>
  <c r="O21" i="10"/>
  <c r="P21" i="10"/>
  <c r="K22" i="10"/>
  <c r="L22" i="10"/>
  <c r="M22" i="10"/>
  <c r="N22" i="10"/>
  <c r="O22" i="10"/>
  <c r="P22" i="10"/>
  <c r="K23" i="10"/>
  <c r="L23" i="10"/>
  <c r="M23" i="10"/>
  <c r="N23" i="10"/>
  <c r="O23" i="10"/>
  <c r="P23" i="10"/>
  <c r="K24" i="10"/>
  <c r="L24" i="10"/>
  <c r="M24" i="10"/>
  <c r="N24" i="10"/>
  <c r="O24" i="10"/>
  <c r="P24" i="10"/>
  <c r="K25" i="10"/>
  <c r="L25" i="10"/>
  <c r="M25" i="10"/>
  <c r="N25" i="10"/>
  <c r="O25" i="10"/>
  <c r="P25" i="10"/>
  <c r="K26" i="10"/>
  <c r="L26" i="10"/>
  <c r="M26" i="10"/>
  <c r="N26" i="10"/>
  <c r="O26" i="10"/>
  <c r="P26" i="10"/>
  <c r="P2" i="10"/>
  <c r="O2" i="10"/>
  <c r="N2" i="10"/>
  <c r="M2" i="10"/>
  <c r="L2" i="10"/>
  <c r="K2" i="10"/>
  <c r="K3" i="9"/>
  <c r="L3" i="9"/>
  <c r="M3" i="9"/>
  <c r="N3" i="9"/>
  <c r="O3" i="9"/>
  <c r="P3" i="9"/>
  <c r="K4" i="9"/>
  <c r="L4" i="9"/>
  <c r="M4" i="9"/>
  <c r="N4" i="9"/>
  <c r="O4" i="9"/>
  <c r="P4" i="9"/>
  <c r="K5" i="9"/>
  <c r="L5" i="9"/>
  <c r="M5" i="9"/>
  <c r="N5" i="9"/>
  <c r="O5" i="9"/>
  <c r="P5" i="9"/>
  <c r="K6" i="9"/>
  <c r="L6" i="9"/>
  <c r="M6" i="9"/>
  <c r="N6" i="9"/>
  <c r="O6" i="9"/>
  <c r="P6" i="9"/>
  <c r="K7" i="9"/>
  <c r="L7" i="9"/>
  <c r="M7" i="9"/>
  <c r="N7" i="9"/>
  <c r="O7" i="9"/>
  <c r="P7" i="9"/>
  <c r="K8" i="9"/>
  <c r="L8" i="9"/>
  <c r="M8" i="9"/>
  <c r="N8" i="9"/>
  <c r="O8" i="9"/>
  <c r="P8" i="9"/>
  <c r="K9" i="9"/>
  <c r="L9" i="9"/>
  <c r="M9" i="9"/>
  <c r="N9" i="9"/>
  <c r="O9" i="9"/>
  <c r="P9" i="9"/>
  <c r="K10" i="9"/>
  <c r="L10" i="9"/>
  <c r="M10" i="9"/>
  <c r="N10" i="9"/>
  <c r="O10" i="9"/>
  <c r="P10" i="9"/>
  <c r="K11" i="9"/>
  <c r="L11" i="9"/>
  <c r="M11" i="9"/>
  <c r="N11" i="9"/>
  <c r="O11" i="9"/>
  <c r="P11" i="9"/>
  <c r="K12" i="9"/>
  <c r="L12" i="9"/>
  <c r="M12" i="9"/>
  <c r="N12" i="9"/>
  <c r="O12" i="9"/>
  <c r="P12" i="9"/>
  <c r="K13" i="9"/>
  <c r="L13" i="9"/>
  <c r="M13" i="9"/>
  <c r="N13" i="9"/>
  <c r="O13" i="9"/>
  <c r="P13" i="9"/>
  <c r="K14" i="9"/>
  <c r="L14" i="9"/>
  <c r="M14" i="9"/>
  <c r="N14" i="9"/>
  <c r="O14" i="9"/>
  <c r="P14" i="9"/>
  <c r="K15" i="9"/>
  <c r="L15" i="9"/>
  <c r="M15" i="9"/>
  <c r="N15" i="9"/>
  <c r="O15" i="9"/>
  <c r="P15" i="9"/>
  <c r="K16" i="9"/>
  <c r="L16" i="9"/>
  <c r="M16" i="9"/>
  <c r="N16" i="9"/>
  <c r="O16" i="9"/>
  <c r="P16" i="9"/>
  <c r="K17" i="9"/>
  <c r="L17" i="9"/>
  <c r="M17" i="9"/>
  <c r="N17" i="9"/>
  <c r="O17" i="9"/>
  <c r="P17" i="9"/>
  <c r="K18" i="9"/>
  <c r="L18" i="9"/>
  <c r="M18" i="9"/>
  <c r="N18" i="9"/>
  <c r="O18" i="9"/>
  <c r="P18" i="9"/>
  <c r="K19" i="9"/>
  <c r="L19" i="9"/>
  <c r="M19" i="9"/>
  <c r="N19" i="9"/>
  <c r="O19" i="9"/>
  <c r="P19" i="9"/>
  <c r="K20" i="9"/>
  <c r="L20" i="9"/>
  <c r="M20" i="9"/>
  <c r="N20" i="9"/>
  <c r="O20" i="9"/>
  <c r="P20" i="9"/>
  <c r="K21" i="9"/>
  <c r="L21" i="9"/>
  <c r="M21" i="9"/>
  <c r="N21" i="9"/>
  <c r="O21" i="9"/>
  <c r="P21" i="9"/>
  <c r="K22" i="9"/>
  <c r="L22" i="9"/>
  <c r="M22" i="9"/>
  <c r="N22" i="9"/>
  <c r="O22" i="9"/>
  <c r="P22" i="9"/>
  <c r="K23" i="9"/>
  <c r="L23" i="9"/>
  <c r="M23" i="9"/>
  <c r="N23" i="9"/>
  <c r="O23" i="9"/>
  <c r="P23" i="9"/>
  <c r="K24" i="9"/>
  <c r="L24" i="9"/>
  <c r="M24" i="9"/>
  <c r="N24" i="9"/>
  <c r="O24" i="9"/>
  <c r="P24" i="9"/>
  <c r="K25" i="9"/>
  <c r="L25" i="9"/>
  <c r="M25" i="9"/>
  <c r="N25" i="9"/>
  <c r="O25" i="9"/>
  <c r="P25" i="9"/>
  <c r="K26" i="9"/>
  <c r="L26" i="9"/>
  <c r="M26" i="9"/>
  <c r="N26" i="9"/>
  <c r="O26" i="9"/>
  <c r="P26" i="9"/>
  <c r="P2" i="9"/>
  <c r="O2" i="9"/>
  <c r="N2" i="9"/>
  <c r="M2" i="9"/>
  <c r="L2" i="9"/>
  <c r="K2" i="9"/>
  <c r="K3" i="8"/>
  <c r="L3" i="8"/>
  <c r="M3" i="8"/>
  <c r="N3" i="8"/>
  <c r="O3" i="8"/>
  <c r="P3" i="8"/>
  <c r="K4" i="8"/>
  <c r="L4" i="8"/>
  <c r="M4" i="8"/>
  <c r="N4" i="8"/>
  <c r="O4" i="8"/>
  <c r="P4" i="8"/>
  <c r="K5" i="8"/>
  <c r="L5" i="8"/>
  <c r="M5" i="8"/>
  <c r="N5" i="8"/>
  <c r="O5" i="8"/>
  <c r="P5" i="8"/>
  <c r="K6" i="8"/>
  <c r="L6" i="8"/>
  <c r="M6" i="8"/>
  <c r="N6" i="8"/>
  <c r="O6" i="8"/>
  <c r="P6" i="8"/>
  <c r="K7" i="8"/>
  <c r="L7" i="8"/>
  <c r="M7" i="8"/>
  <c r="N7" i="8"/>
  <c r="O7" i="8"/>
  <c r="P7" i="8"/>
  <c r="K8" i="8"/>
  <c r="L8" i="8"/>
  <c r="M8" i="8"/>
  <c r="N8" i="8"/>
  <c r="O8" i="8"/>
  <c r="P8" i="8"/>
  <c r="K9" i="8"/>
  <c r="L9" i="8"/>
  <c r="M9" i="8"/>
  <c r="N9" i="8"/>
  <c r="O9" i="8"/>
  <c r="P9" i="8"/>
  <c r="K10" i="8"/>
  <c r="L10" i="8"/>
  <c r="M10" i="8"/>
  <c r="N10" i="8"/>
  <c r="O10" i="8"/>
  <c r="P10" i="8"/>
  <c r="K11" i="8"/>
  <c r="L11" i="8"/>
  <c r="M11" i="8"/>
  <c r="N11" i="8"/>
  <c r="O11" i="8"/>
  <c r="P11" i="8"/>
  <c r="K12" i="8"/>
  <c r="L12" i="8"/>
  <c r="M12" i="8"/>
  <c r="N12" i="8"/>
  <c r="O12" i="8"/>
  <c r="P12" i="8"/>
  <c r="K13" i="8"/>
  <c r="L13" i="8"/>
  <c r="M13" i="8"/>
  <c r="N13" i="8"/>
  <c r="O13" i="8"/>
  <c r="P13" i="8"/>
  <c r="K14" i="8"/>
  <c r="L14" i="8"/>
  <c r="M14" i="8"/>
  <c r="N14" i="8"/>
  <c r="O14" i="8"/>
  <c r="P14" i="8"/>
  <c r="K15" i="8"/>
  <c r="L15" i="8"/>
  <c r="M15" i="8"/>
  <c r="N15" i="8"/>
  <c r="O15" i="8"/>
  <c r="P15" i="8"/>
  <c r="K16" i="8"/>
  <c r="L16" i="8"/>
  <c r="M16" i="8"/>
  <c r="N16" i="8"/>
  <c r="O16" i="8"/>
  <c r="P16" i="8"/>
  <c r="K17" i="8"/>
  <c r="L17" i="8"/>
  <c r="M17" i="8"/>
  <c r="N17" i="8"/>
  <c r="O17" i="8"/>
  <c r="P17" i="8"/>
  <c r="K18" i="8"/>
  <c r="L18" i="8"/>
  <c r="M18" i="8"/>
  <c r="N18" i="8"/>
  <c r="O18" i="8"/>
  <c r="P18" i="8"/>
  <c r="K19" i="8"/>
  <c r="L19" i="8"/>
  <c r="M19" i="8"/>
  <c r="N19" i="8"/>
  <c r="O19" i="8"/>
  <c r="P19" i="8"/>
  <c r="K20" i="8"/>
  <c r="L20" i="8"/>
  <c r="M20" i="8"/>
  <c r="N20" i="8"/>
  <c r="O20" i="8"/>
  <c r="P20" i="8"/>
  <c r="K21" i="8"/>
  <c r="L21" i="8"/>
  <c r="M21" i="8"/>
  <c r="N21" i="8"/>
  <c r="O21" i="8"/>
  <c r="P21" i="8"/>
  <c r="K22" i="8"/>
  <c r="L22" i="8"/>
  <c r="M22" i="8"/>
  <c r="N22" i="8"/>
  <c r="O22" i="8"/>
  <c r="P22" i="8"/>
  <c r="K23" i="8"/>
  <c r="L23" i="8"/>
  <c r="M23" i="8"/>
  <c r="N23" i="8"/>
  <c r="O23" i="8"/>
  <c r="P23" i="8"/>
  <c r="K24" i="8"/>
  <c r="L24" i="8"/>
  <c r="M24" i="8"/>
  <c r="N24" i="8"/>
  <c r="O24" i="8"/>
  <c r="P24" i="8"/>
  <c r="K25" i="8"/>
  <c r="L25" i="8"/>
  <c r="M25" i="8"/>
  <c r="N25" i="8"/>
  <c r="O25" i="8"/>
  <c r="P25" i="8"/>
  <c r="K26" i="8"/>
  <c r="L26" i="8"/>
  <c r="M26" i="8"/>
  <c r="N26" i="8"/>
  <c r="O26" i="8"/>
  <c r="P26" i="8"/>
  <c r="P2" i="8"/>
  <c r="O2" i="8"/>
  <c r="N2" i="8"/>
  <c r="M2" i="8"/>
  <c r="L2" i="8"/>
  <c r="K2" i="8"/>
  <c r="K3" i="7"/>
  <c r="L3" i="7"/>
  <c r="M3" i="7"/>
  <c r="N3" i="7"/>
  <c r="O3" i="7"/>
  <c r="P3" i="7"/>
  <c r="K4" i="7"/>
  <c r="L4" i="7"/>
  <c r="M4" i="7"/>
  <c r="N4" i="7"/>
  <c r="O4" i="7"/>
  <c r="P4" i="7"/>
  <c r="K5" i="7"/>
  <c r="L5" i="7"/>
  <c r="M5" i="7"/>
  <c r="N5" i="7"/>
  <c r="O5" i="7"/>
  <c r="P5" i="7"/>
  <c r="K6" i="7"/>
  <c r="L6" i="7"/>
  <c r="M6" i="7"/>
  <c r="N6" i="7"/>
  <c r="O6" i="7"/>
  <c r="P6" i="7"/>
  <c r="K7" i="7"/>
  <c r="L7" i="7"/>
  <c r="M7" i="7"/>
  <c r="N7" i="7"/>
  <c r="O7" i="7"/>
  <c r="P7" i="7"/>
  <c r="K8" i="7"/>
  <c r="L8" i="7"/>
  <c r="M8" i="7"/>
  <c r="N8" i="7"/>
  <c r="O8" i="7"/>
  <c r="P8" i="7"/>
  <c r="K9" i="7"/>
  <c r="L9" i="7"/>
  <c r="M9" i="7"/>
  <c r="N9" i="7"/>
  <c r="O9" i="7"/>
  <c r="P9" i="7"/>
  <c r="K10" i="7"/>
  <c r="L10" i="7"/>
  <c r="M10" i="7"/>
  <c r="N10" i="7"/>
  <c r="O10" i="7"/>
  <c r="P10" i="7"/>
  <c r="K11" i="7"/>
  <c r="L11" i="7"/>
  <c r="M11" i="7"/>
  <c r="N11" i="7"/>
  <c r="O11" i="7"/>
  <c r="P11" i="7"/>
  <c r="K12" i="7"/>
  <c r="L12" i="7"/>
  <c r="M12" i="7"/>
  <c r="N12" i="7"/>
  <c r="O12" i="7"/>
  <c r="P12" i="7"/>
  <c r="K13" i="7"/>
  <c r="L13" i="7"/>
  <c r="M13" i="7"/>
  <c r="N13" i="7"/>
  <c r="O13" i="7"/>
  <c r="P13" i="7"/>
  <c r="K14" i="7"/>
  <c r="L14" i="7"/>
  <c r="M14" i="7"/>
  <c r="N14" i="7"/>
  <c r="O14" i="7"/>
  <c r="P14" i="7"/>
  <c r="K15" i="7"/>
  <c r="L15" i="7"/>
  <c r="M15" i="7"/>
  <c r="N15" i="7"/>
  <c r="O15" i="7"/>
  <c r="P15" i="7"/>
  <c r="K16" i="7"/>
  <c r="L16" i="7"/>
  <c r="M16" i="7"/>
  <c r="N16" i="7"/>
  <c r="O16" i="7"/>
  <c r="P16" i="7"/>
  <c r="K17" i="7"/>
  <c r="L17" i="7"/>
  <c r="M17" i="7"/>
  <c r="N17" i="7"/>
  <c r="O17" i="7"/>
  <c r="P17" i="7"/>
  <c r="K18" i="7"/>
  <c r="L18" i="7"/>
  <c r="M18" i="7"/>
  <c r="N18" i="7"/>
  <c r="O18" i="7"/>
  <c r="P18" i="7"/>
  <c r="K19" i="7"/>
  <c r="L19" i="7"/>
  <c r="M19" i="7"/>
  <c r="N19" i="7"/>
  <c r="O19" i="7"/>
  <c r="P19" i="7"/>
  <c r="K20" i="7"/>
  <c r="L20" i="7"/>
  <c r="M20" i="7"/>
  <c r="N20" i="7"/>
  <c r="O20" i="7"/>
  <c r="P20" i="7"/>
  <c r="K21" i="7"/>
  <c r="L21" i="7"/>
  <c r="M21" i="7"/>
  <c r="N21" i="7"/>
  <c r="O21" i="7"/>
  <c r="P21" i="7"/>
  <c r="K22" i="7"/>
  <c r="L22" i="7"/>
  <c r="M22" i="7"/>
  <c r="N22" i="7"/>
  <c r="O22" i="7"/>
  <c r="P22" i="7"/>
  <c r="K23" i="7"/>
  <c r="L23" i="7"/>
  <c r="M23" i="7"/>
  <c r="N23" i="7"/>
  <c r="O23" i="7"/>
  <c r="P23" i="7"/>
  <c r="K24" i="7"/>
  <c r="L24" i="7"/>
  <c r="M24" i="7"/>
  <c r="N24" i="7"/>
  <c r="O24" i="7"/>
  <c r="P24" i="7"/>
  <c r="K25" i="7"/>
  <c r="L25" i="7"/>
  <c r="M25" i="7"/>
  <c r="N25" i="7"/>
  <c r="O25" i="7"/>
  <c r="P25" i="7"/>
  <c r="K26" i="7"/>
  <c r="L26" i="7"/>
  <c r="M26" i="7"/>
  <c r="N26" i="7"/>
  <c r="O26" i="7"/>
  <c r="P26" i="7"/>
  <c r="P2" i="7"/>
  <c r="O2" i="7"/>
  <c r="N2" i="7"/>
  <c r="M2" i="7"/>
  <c r="L2" i="7"/>
  <c r="K2" i="7"/>
  <c r="K3" i="6"/>
  <c r="L3" i="6"/>
  <c r="M3" i="6"/>
  <c r="N3" i="6"/>
  <c r="O3" i="6"/>
  <c r="P3" i="6"/>
  <c r="K4" i="6"/>
  <c r="L4" i="6"/>
  <c r="M4" i="6"/>
  <c r="N4" i="6"/>
  <c r="O4" i="6"/>
  <c r="P4" i="6"/>
  <c r="K5" i="6"/>
  <c r="L5" i="6"/>
  <c r="M5" i="6"/>
  <c r="N5" i="6"/>
  <c r="O5" i="6"/>
  <c r="P5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K9" i="6"/>
  <c r="L9" i="6"/>
  <c r="M9" i="6"/>
  <c r="N9" i="6"/>
  <c r="O9" i="6"/>
  <c r="P9" i="6"/>
  <c r="K10" i="6"/>
  <c r="L10" i="6"/>
  <c r="M10" i="6"/>
  <c r="N10" i="6"/>
  <c r="O10" i="6"/>
  <c r="P10" i="6"/>
  <c r="K11" i="6"/>
  <c r="L11" i="6"/>
  <c r="M11" i="6"/>
  <c r="N11" i="6"/>
  <c r="O11" i="6"/>
  <c r="P11" i="6"/>
  <c r="K12" i="6"/>
  <c r="L12" i="6"/>
  <c r="M12" i="6"/>
  <c r="N12" i="6"/>
  <c r="O12" i="6"/>
  <c r="P12" i="6"/>
  <c r="K13" i="6"/>
  <c r="L13" i="6"/>
  <c r="M13" i="6"/>
  <c r="N13" i="6"/>
  <c r="O13" i="6"/>
  <c r="P13" i="6"/>
  <c r="K14" i="6"/>
  <c r="L14" i="6"/>
  <c r="M14" i="6"/>
  <c r="N14" i="6"/>
  <c r="O14" i="6"/>
  <c r="P14" i="6"/>
  <c r="K15" i="6"/>
  <c r="L15" i="6"/>
  <c r="M15" i="6"/>
  <c r="N15" i="6"/>
  <c r="O15" i="6"/>
  <c r="P15" i="6"/>
  <c r="K16" i="6"/>
  <c r="L16" i="6"/>
  <c r="M16" i="6"/>
  <c r="N16" i="6"/>
  <c r="O16" i="6"/>
  <c r="P16" i="6"/>
  <c r="K17" i="6"/>
  <c r="L17" i="6"/>
  <c r="M17" i="6"/>
  <c r="N17" i="6"/>
  <c r="O17" i="6"/>
  <c r="P17" i="6"/>
  <c r="K18" i="6"/>
  <c r="L18" i="6"/>
  <c r="M18" i="6"/>
  <c r="N18" i="6"/>
  <c r="O18" i="6"/>
  <c r="P18" i="6"/>
  <c r="K19" i="6"/>
  <c r="L19" i="6"/>
  <c r="M19" i="6"/>
  <c r="N19" i="6"/>
  <c r="O19" i="6"/>
  <c r="P19" i="6"/>
  <c r="K20" i="6"/>
  <c r="L20" i="6"/>
  <c r="M20" i="6"/>
  <c r="N20" i="6"/>
  <c r="O20" i="6"/>
  <c r="P20" i="6"/>
  <c r="K21" i="6"/>
  <c r="L21" i="6"/>
  <c r="M21" i="6"/>
  <c r="N21" i="6"/>
  <c r="O21" i="6"/>
  <c r="P21" i="6"/>
  <c r="K22" i="6"/>
  <c r="L22" i="6"/>
  <c r="M22" i="6"/>
  <c r="N22" i="6"/>
  <c r="O22" i="6"/>
  <c r="P22" i="6"/>
  <c r="K23" i="6"/>
  <c r="L23" i="6"/>
  <c r="M23" i="6"/>
  <c r="N23" i="6"/>
  <c r="O23" i="6"/>
  <c r="P23" i="6"/>
  <c r="K24" i="6"/>
  <c r="L24" i="6"/>
  <c r="M24" i="6"/>
  <c r="N24" i="6"/>
  <c r="O24" i="6"/>
  <c r="P24" i="6"/>
  <c r="K25" i="6"/>
  <c r="L25" i="6"/>
  <c r="M25" i="6"/>
  <c r="N25" i="6"/>
  <c r="O25" i="6"/>
  <c r="P25" i="6"/>
  <c r="K26" i="6"/>
  <c r="L26" i="6"/>
  <c r="M26" i="6"/>
  <c r="N26" i="6"/>
  <c r="O26" i="6"/>
  <c r="P26" i="6"/>
  <c r="P2" i="6"/>
  <c r="O2" i="6"/>
  <c r="N2" i="6"/>
  <c r="M2" i="6"/>
  <c r="K2" i="6"/>
  <c r="L2" i="6"/>
  <c r="K3" i="5"/>
  <c r="L3" i="5"/>
  <c r="M3" i="5"/>
  <c r="N3" i="5"/>
  <c r="O3" i="5"/>
  <c r="P3" i="5"/>
  <c r="K4" i="5"/>
  <c r="L4" i="5"/>
  <c r="M4" i="5"/>
  <c r="N4" i="5"/>
  <c r="O4" i="5"/>
  <c r="P4" i="5"/>
  <c r="K5" i="5"/>
  <c r="L5" i="5"/>
  <c r="M5" i="5"/>
  <c r="N5" i="5"/>
  <c r="O5" i="5"/>
  <c r="P5" i="5"/>
  <c r="K6" i="5"/>
  <c r="L6" i="5"/>
  <c r="M6" i="5"/>
  <c r="N6" i="5"/>
  <c r="O6" i="5"/>
  <c r="P6" i="5"/>
  <c r="K7" i="5"/>
  <c r="L7" i="5"/>
  <c r="M7" i="5"/>
  <c r="N7" i="5"/>
  <c r="O7" i="5"/>
  <c r="P7" i="5"/>
  <c r="K8" i="5"/>
  <c r="L8" i="5"/>
  <c r="M8" i="5"/>
  <c r="N8" i="5"/>
  <c r="O8" i="5"/>
  <c r="P8" i="5"/>
  <c r="K9" i="5"/>
  <c r="L9" i="5"/>
  <c r="M9" i="5"/>
  <c r="N9" i="5"/>
  <c r="O9" i="5"/>
  <c r="P9" i="5"/>
  <c r="K10" i="5"/>
  <c r="L10" i="5"/>
  <c r="M10" i="5"/>
  <c r="N10" i="5"/>
  <c r="O10" i="5"/>
  <c r="P10" i="5"/>
  <c r="K11" i="5"/>
  <c r="L11" i="5"/>
  <c r="M11" i="5"/>
  <c r="N11" i="5"/>
  <c r="O11" i="5"/>
  <c r="P11" i="5"/>
  <c r="K12" i="5"/>
  <c r="L12" i="5"/>
  <c r="M12" i="5"/>
  <c r="N12" i="5"/>
  <c r="O12" i="5"/>
  <c r="P12" i="5"/>
  <c r="K13" i="5"/>
  <c r="L13" i="5"/>
  <c r="M13" i="5"/>
  <c r="N13" i="5"/>
  <c r="O13" i="5"/>
  <c r="P13" i="5"/>
  <c r="K14" i="5"/>
  <c r="L14" i="5"/>
  <c r="M14" i="5"/>
  <c r="N14" i="5"/>
  <c r="O14" i="5"/>
  <c r="P14" i="5"/>
  <c r="K15" i="5"/>
  <c r="L15" i="5"/>
  <c r="M15" i="5"/>
  <c r="N15" i="5"/>
  <c r="O15" i="5"/>
  <c r="P15" i="5"/>
  <c r="K16" i="5"/>
  <c r="L16" i="5"/>
  <c r="M16" i="5"/>
  <c r="N16" i="5"/>
  <c r="O16" i="5"/>
  <c r="P16" i="5"/>
  <c r="K17" i="5"/>
  <c r="L17" i="5"/>
  <c r="M17" i="5"/>
  <c r="N17" i="5"/>
  <c r="O17" i="5"/>
  <c r="P17" i="5"/>
  <c r="K18" i="5"/>
  <c r="L18" i="5"/>
  <c r="M18" i="5"/>
  <c r="N18" i="5"/>
  <c r="O18" i="5"/>
  <c r="P18" i="5"/>
  <c r="K19" i="5"/>
  <c r="L19" i="5"/>
  <c r="M19" i="5"/>
  <c r="N19" i="5"/>
  <c r="O19" i="5"/>
  <c r="P19" i="5"/>
  <c r="K20" i="5"/>
  <c r="L20" i="5"/>
  <c r="M20" i="5"/>
  <c r="N20" i="5"/>
  <c r="O20" i="5"/>
  <c r="P20" i="5"/>
  <c r="K21" i="5"/>
  <c r="L21" i="5"/>
  <c r="M21" i="5"/>
  <c r="N21" i="5"/>
  <c r="O21" i="5"/>
  <c r="P21" i="5"/>
  <c r="K22" i="5"/>
  <c r="L22" i="5"/>
  <c r="M22" i="5"/>
  <c r="N22" i="5"/>
  <c r="O22" i="5"/>
  <c r="P22" i="5"/>
  <c r="K23" i="5"/>
  <c r="L23" i="5"/>
  <c r="M23" i="5"/>
  <c r="N23" i="5"/>
  <c r="O23" i="5"/>
  <c r="P23" i="5"/>
  <c r="K24" i="5"/>
  <c r="L24" i="5"/>
  <c r="M24" i="5"/>
  <c r="N24" i="5"/>
  <c r="O24" i="5"/>
  <c r="P24" i="5"/>
  <c r="K25" i="5"/>
  <c r="L25" i="5"/>
  <c r="M25" i="5"/>
  <c r="N25" i="5"/>
  <c r="O25" i="5"/>
  <c r="P25" i="5"/>
  <c r="K26" i="5"/>
  <c r="L26" i="5"/>
  <c r="M26" i="5"/>
  <c r="N26" i="5"/>
  <c r="O26" i="5"/>
  <c r="P26" i="5"/>
  <c r="K2" i="5"/>
  <c r="P2" i="5"/>
  <c r="O2" i="5"/>
  <c r="N2" i="5"/>
  <c r="M2" i="5"/>
  <c r="L2" i="5"/>
  <c r="M3" i="4"/>
  <c r="N3" i="4"/>
  <c r="O3" i="4"/>
  <c r="P3" i="4"/>
  <c r="M4" i="4"/>
  <c r="N4" i="4"/>
  <c r="O4" i="4"/>
  <c r="P4" i="4"/>
  <c r="M5" i="4"/>
  <c r="N5" i="4"/>
  <c r="O5" i="4"/>
  <c r="P5" i="4"/>
  <c r="M6" i="4"/>
  <c r="N6" i="4"/>
  <c r="O6" i="4"/>
  <c r="P6" i="4"/>
  <c r="M7" i="4"/>
  <c r="N7" i="4"/>
  <c r="O7" i="4"/>
  <c r="P7" i="4"/>
  <c r="M8" i="4"/>
  <c r="N8" i="4"/>
  <c r="O8" i="4"/>
  <c r="P8" i="4"/>
  <c r="M9" i="4"/>
  <c r="N9" i="4"/>
  <c r="O9" i="4"/>
  <c r="P9" i="4"/>
  <c r="M10" i="4"/>
  <c r="N10" i="4"/>
  <c r="O10" i="4"/>
  <c r="P10" i="4"/>
  <c r="M11" i="4"/>
  <c r="N11" i="4"/>
  <c r="O11" i="4"/>
  <c r="P11" i="4"/>
  <c r="M12" i="4"/>
  <c r="N12" i="4"/>
  <c r="O12" i="4"/>
  <c r="P12" i="4"/>
  <c r="M13" i="4"/>
  <c r="N13" i="4"/>
  <c r="O13" i="4"/>
  <c r="P13" i="4"/>
  <c r="M14" i="4"/>
  <c r="N14" i="4"/>
  <c r="O14" i="4"/>
  <c r="P14" i="4"/>
  <c r="M15" i="4"/>
  <c r="N15" i="4"/>
  <c r="O15" i="4"/>
  <c r="P15" i="4"/>
  <c r="M16" i="4"/>
  <c r="N16" i="4"/>
  <c r="O16" i="4"/>
  <c r="P16" i="4"/>
  <c r="M17" i="4"/>
  <c r="N17" i="4"/>
  <c r="O17" i="4"/>
  <c r="P17" i="4"/>
  <c r="M18" i="4"/>
  <c r="N18" i="4"/>
  <c r="O18" i="4"/>
  <c r="P18" i="4"/>
  <c r="M19" i="4"/>
  <c r="N19" i="4"/>
  <c r="O19" i="4"/>
  <c r="P19" i="4"/>
  <c r="M20" i="4"/>
  <c r="N20" i="4"/>
  <c r="O20" i="4"/>
  <c r="P20" i="4"/>
  <c r="M21" i="4"/>
  <c r="N21" i="4"/>
  <c r="O21" i="4"/>
  <c r="P21" i="4"/>
  <c r="M22" i="4"/>
  <c r="N22" i="4"/>
  <c r="O22" i="4"/>
  <c r="P22" i="4"/>
  <c r="M23" i="4"/>
  <c r="N23" i="4"/>
  <c r="O23" i="4"/>
  <c r="P23" i="4"/>
  <c r="M24" i="4"/>
  <c r="N24" i="4"/>
  <c r="O24" i="4"/>
  <c r="P24" i="4"/>
  <c r="M25" i="4"/>
  <c r="N25" i="4"/>
  <c r="O25" i="4"/>
  <c r="P25" i="4"/>
  <c r="M26" i="4"/>
  <c r="N26" i="4"/>
  <c r="O26" i="4"/>
  <c r="P26" i="4"/>
  <c r="P2" i="4"/>
  <c r="N2" i="4"/>
  <c r="M2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" i="4"/>
</calcChain>
</file>

<file path=xl/sharedStrings.xml><?xml version="1.0" encoding="utf-8"?>
<sst xmlns="http://schemas.openxmlformats.org/spreadsheetml/2006/main" count="3096" uniqueCount="187">
  <si>
    <t>UCF</t>
  </si>
  <si>
    <t>Memphis</t>
  </si>
  <si>
    <t>Oklahoma State</t>
  </si>
  <si>
    <t>Oklahoma</t>
  </si>
  <si>
    <t>Ohio State</t>
  </si>
  <si>
    <t>Arizona</t>
  </si>
  <si>
    <t>Penn State</t>
  </si>
  <si>
    <t>SMU</t>
  </si>
  <si>
    <t>Arkansas State</t>
  </si>
  <si>
    <t>Florida Atlantic</t>
  </si>
  <si>
    <t>Missouri</t>
  </si>
  <si>
    <t>Alabama</t>
  </si>
  <si>
    <t>Louisville</t>
  </si>
  <si>
    <t>Ohio</t>
  </si>
  <si>
    <t>Toledo</t>
  </si>
  <si>
    <t>South Florida</t>
  </si>
  <si>
    <t>North Texas</t>
  </si>
  <si>
    <t>Washington</t>
  </si>
  <si>
    <t>Oregon</t>
  </si>
  <si>
    <t>Auburn</t>
  </si>
  <si>
    <t>West Virginia</t>
  </si>
  <si>
    <t>Louisiana-Monroe</t>
  </si>
  <si>
    <t>Georgia</t>
  </si>
  <si>
    <t>Notre Dame</t>
  </si>
  <si>
    <t>Clemson</t>
  </si>
  <si>
    <t>Wisconsin</t>
  </si>
  <si>
    <t>USC</t>
  </si>
  <si>
    <t>TCU</t>
  </si>
  <si>
    <t>Texas Tech</t>
  </si>
  <si>
    <t>Western Michigan</t>
  </si>
  <si>
    <t>Colorado State</t>
  </si>
  <si>
    <t>UCLA</t>
  </si>
  <si>
    <t>Wake Forest</t>
  </si>
  <si>
    <t>Boise State</t>
  </si>
  <si>
    <t>Mississippi</t>
  </si>
  <si>
    <t>Mississippi State</t>
  </si>
  <si>
    <t>Kansas State</t>
  </si>
  <si>
    <t>Stanford</t>
  </si>
  <si>
    <t>Arizona State</t>
  </si>
  <si>
    <t>Miami (Florida)</t>
  </si>
  <si>
    <t>Air Force</t>
  </si>
  <si>
    <t>Washington State</t>
  </si>
  <si>
    <t>Army</t>
  </si>
  <si>
    <t>Texas A&amp;M</t>
  </si>
  <si>
    <t>Utah State</t>
  </si>
  <si>
    <t>Appalachian State</t>
  </si>
  <si>
    <t>North Carolina State</t>
  </si>
  <si>
    <t>Southern Mississippi</t>
  </si>
  <si>
    <t>San Diego State</t>
  </si>
  <si>
    <t>Navy</t>
  </si>
  <si>
    <t>New Mexico State</t>
  </si>
  <si>
    <t>Northern Illinois</t>
  </si>
  <si>
    <t>Iowa State</t>
  </si>
  <si>
    <t>Troy</t>
  </si>
  <si>
    <t>Central Michigan</t>
  </si>
  <si>
    <t>Northwestern</t>
  </si>
  <si>
    <t>UAB</t>
  </si>
  <si>
    <t>Utah</t>
  </si>
  <si>
    <t>Louisiana-Lafayette</t>
  </si>
  <si>
    <t>Tulsa</t>
  </si>
  <si>
    <t>Massachusetts</t>
  </si>
  <si>
    <t>Texas</t>
  </si>
  <si>
    <t>UNLV</t>
  </si>
  <si>
    <t>Arkansas</t>
  </si>
  <si>
    <t>Virginia Tech</t>
  </si>
  <si>
    <t>Louisiana Tech</t>
  </si>
  <si>
    <t>Buffalo</t>
  </si>
  <si>
    <t>Houston</t>
  </si>
  <si>
    <t>Iowa</t>
  </si>
  <si>
    <t>Nevada</t>
  </si>
  <si>
    <t>LSU</t>
  </si>
  <si>
    <t>Georgia Tech</t>
  </si>
  <si>
    <t>California</t>
  </si>
  <si>
    <t>Fresno State</t>
  </si>
  <si>
    <t>Tulane</t>
  </si>
  <si>
    <t>Syracuse</t>
  </si>
  <si>
    <t>Indiana</t>
  </si>
  <si>
    <t>Colorado</t>
  </si>
  <si>
    <t>Marshall</t>
  </si>
  <si>
    <t>Boston College</t>
  </si>
  <si>
    <t>Western Kentucky</t>
  </si>
  <si>
    <t>Eastern Michigan</t>
  </si>
  <si>
    <t>North Carolina</t>
  </si>
  <si>
    <t>Nebraska</t>
  </si>
  <si>
    <t>Michigan</t>
  </si>
  <si>
    <t>Duke</t>
  </si>
  <si>
    <t>Kentucky</t>
  </si>
  <si>
    <t>Bowling Green</t>
  </si>
  <si>
    <t>Florida State</t>
  </si>
  <si>
    <t>East Carolina</t>
  </si>
  <si>
    <t>Temple</t>
  </si>
  <si>
    <t>Middle Tennessee</t>
  </si>
  <si>
    <t>Vanderbilt</t>
  </si>
  <si>
    <t>Miami (Ohio)</t>
  </si>
  <si>
    <t>Baylor</t>
  </si>
  <si>
    <t>Florida International</t>
  </si>
  <si>
    <t>Purdue</t>
  </si>
  <si>
    <t>Maryland</t>
  </si>
  <si>
    <t>South Carolina</t>
  </si>
  <si>
    <t>Pittsburgh</t>
  </si>
  <si>
    <t>Virginia</t>
  </si>
  <si>
    <t>Connecticut</t>
  </si>
  <si>
    <t>UTSA</t>
  </si>
  <si>
    <t>Akron</t>
  </si>
  <si>
    <t>Michigan State</t>
  </si>
  <si>
    <t>Hawai'i</t>
  </si>
  <si>
    <t>Wyoming</t>
  </si>
  <si>
    <t>Minnesota</t>
  </si>
  <si>
    <t>Florida</t>
  </si>
  <si>
    <t>Georgia Southern</t>
  </si>
  <si>
    <t>Cincinnati</t>
  </si>
  <si>
    <t>New Mexico</t>
  </si>
  <si>
    <t>Oregon State</t>
  </si>
  <si>
    <t>Old Dominion</t>
  </si>
  <si>
    <t>Georgia State</t>
  </si>
  <si>
    <t>Idaho</t>
  </si>
  <si>
    <t>South Alabama</t>
  </si>
  <si>
    <t>Tennessee</t>
  </si>
  <si>
    <t>Kansas</t>
  </si>
  <si>
    <t>Rutgers</t>
  </si>
  <si>
    <t>Ball State</t>
  </si>
  <si>
    <t>Texas State</t>
  </si>
  <si>
    <t>BYU</t>
  </si>
  <si>
    <t>Rice</t>
  </si>
  <si>
    <t>San Jose State</t>
  </si>
  <si>
    <t>Illinois</t>
  </si>
  <si>
    <t>Charlotte</t>
  </si>
  <si>
    <t>Kent State</t>
  </si>
  <si>
    <t>UTEP</t>
  </si>
  <si>
    <t>Name</t>
  </si>
  <si>
    <t>PPG</t>
  </si>
  <si>
    <t>TOP</t>
  </si>
  <si>
    <t>Score %</t>
  </si>
  <si>
    <t>TD %</t>
  </si>
  <si>
    <t>FG %</t>
  </si>
  <si>
    <t>TOP/G</t>
  </si>
  <si>
    <t>Turnovers Lost</t>
  </si>
  <si>
    <t>Rank</t>
  </si>
  <si>
    <t>Louisiana State</t>
  </si>
  <si>
    <t>Nebraksa</t>
  </si>
  <si>
    <t>TuLSU</t>
  </si>
  <si>
    <t>Team</t>
  </si>
  <si>
    <t>TD%</t>
  </si>
  <si>
    <t>FG%</t>
  </si>
  <si>
    <t>Southern Missippi</t>
  </si>
  <si>
    <t>Year</t>
  </si>
  <si>
    <t>Redzone TD%</t>
  </si>
  <si>
    <t>Redzone FG%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</si>
  <si>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</si>
  <si>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</si>
  <si>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</si>
  <si>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</si>
  <si>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</si>
  <si>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</si>
  <si>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</si>
  <si>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</si>
  <si>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</si>
  <si>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</si>
  <si>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</si>
  <si>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</si>
  <si>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</si>
  <si>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</si>
  <si>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</si>
  <si>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</si>
  <si>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</si>
  <si>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</si>
  <si>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</si>
  <si>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</si>
  <si>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</si>
  <si>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</si>
  <si>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</si>
  <si>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Field Goal %</t>
  </si>
  <si>
    <t>Avg. Kick Return</t>
  </si>
  <si>
    <t>Avg. Punt Return</t>
  </si>
  <si>
    <t>Avg. Kick Return Allowed</t>
  </si>
  <si>
    <t>Avg. Punt Return Allowed</t>
  </si>
  <si>
    <t>Special Teams Regression</t>
  </si>
  <si>
    <t>Offensive Regression</t>
  </si>
  <si>
    <t>TFL/G</t>
  </si>
  <si>
    <t>Turnovers Created</t>
  </si>
  <si>
    <t>Yards Allowed Per Game</t>
  </si>
  <si>
    <t>Defensive Regression</t>
  </si>
  <si>
    <t>Points Allowed/Game</t>
  </si>
  <si>
    <t>Yards Allowed Per Paly</t>
  </si>
  <si>
    <t>Redzone TD Defense %</t>
  </si>
  <si>
    <t>Power Five?</t>
  </si>
  <si>
    <t>Complete Data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</si>
</sst>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9">
    <xf numFmtId="0" fontId="0" fillId="0" borderId="0" xfId="0"/>
    <xf numFmtId="47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47" fontId="0" fillId="0" borderId="2" xfId="0" applyNumberFormat="1" applyFont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47" fontId="0" fillId="4" borderId="6" xfId="0" applyNumberFormat="1" applyFont="1" applyFill="1" applyBorder="1"/>
    <xf numFmtId="47" fontId="0" fillId="0" borderId="6" xfId="0" applyNumberFormat="1" applyFont="1" applyBorder="1"/>
    <xf numFmtId="0" fontId="1" fillId="3" borderId="7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1" fillId="2" borderId="0" xfId="0" applyFont="1" applyFill="1" applyBorder="1"/>
    <xf numFmtId="0" fontId="1" fillId="3" borderId="0" xfId="0" applyFont="1" applyFill="1" applyBorder="1"/>
    <xf numFmtId="0" fontId="0" fillId="0" borderId="0" xfId="0" applyFill="1" applyBorder="1" applyAlignment="1"/>
    <xf numFmtId="0" fontId="0" fillId="0" borderId="9" xfId="0" applyFill="1" applyBorder="1" applyAlignment="1"/>
    <xf numFmtId="0" fontId="2" fillId="0" borderId="10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Continuous"/>
    </xf>
    <xf numFmtId="0" fontId="0" fillId="4" borderId="1" xfId="0" applyFont="1" applyFill="1" applyBorder="1"/>
    <xf numFmtId="0" fontId="0" fillId="4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11" xfId="0" applyFont="1" applyFill="1" applyBorder="1"/>
    <xf numFmtId="0" fontId="0" fillId="4" borderId="11" xfId="0" applyFont="1" applyFill="1" applyBorder="1"/>
    <xf numFmtId="0" fontId="0" fillId="0" borderId="11" xfId="0" applyFont="1" applyBorder="1"/>
    <xf numFmtId="0" fontId="0" fillId="0" borderId="12" xfId="0" applyFont="1" applyBorder="1"/>
    <xf numFmtId="0" fontId="0" fillId="4" borderId="12" xfId="0" applyFont="1" applyFill="1" applyBorder="1"/>
    <xf numFmtId="0" fontId="3" fillId="5" borderId="0" xfId="0" applyFont="1" applyFill="1" applyBorder="1" applyAlignment="1"/>
    <xf numFmtId="0" fontId="0" fillId="5" borderId="0" xfId="0" applyFill="1" applyBorder="1" applyAlignment="1"/>
    <xf numFmtId="0" fontId="0" fillId="5" borderId="9" xfId="0" applyFill="1" applyBorder="1" applyAlignment="1"/>
    <xf numFmtId="47" fontId="0" fillId="4" borderId="3" xfId="0" applyNumberFormat="1" applyFont="1" applyFill="1" applyBorder="1"/>
    <xf numFmtId="0" fontId="0" fillId="4" borderId="2" xfId="0" applyFont="1" applyFill="1" applyBorder="1"/>
    <xf numFmtId="0" fontId="1" fillId="3" borderId="6" xfId="0" applyFont="1" applyFill="1" applyBorder="1"/>
    <xf numFmtId="47" fontId="0" fillId="4" borderId="5" xfId="0" applyNumberFormat="1" applyFont="1" applyFill="1" applyBorder="1"/>
    <xf numFmtId="47" fontId="0" fillId="0" borderId="5" xfId="0" applyNumberFormat="1" applyFont="1" applyBorder="1"/>
    <xf numFmtId="0" fontId="1" fillId="3" borderId="5" xfId="0" applyFont="1" applyFill="1" applyBorder="1" applyAlignment="1"/>
    <xf numFmtId="0" fontId="0" fillId="6" borderId="0" xfId="0" applyFill="1" applyBorder="1" applyAlignment="1"/>
    <xf numFmtId="0" fontId="0" fillId="7" borderId="0" xfId="0" applyFill="1" applyBorder="1" applyAlignment="1"/>
    <xf numFmtId="0" fontId="5" fillId="0" borderId="0" xfId="0" applyFont="1"/>
    <xf numFmtId="1" fontId="0" fillId="4" borderId="4" xfId="0" applyNumberFormat="1" applyFont="1" applyFill="1" applyBorder="1"/>
    <xf numFmtId="1" fontId="0" fillId="0" borderId="4" xfId="0" applyNumberFormat="1" applyFont="1" applyBorder="1"/>
    <xf numFmtId="1" fontId="0" fillId="4" borderId="1" xfId="0" applyNumberFormat="1" applyFont="1" applyFill="1" applyBorder="1"/>
    <xf numFmtId="0" fontId="0" fillId="7" borderId="9" xfId="0" applyFill="1" applyBorder="1" applyAlignment="1"/>
    <xf numFmtId="0" fontId="4" fillId="0" borderId="0" xfId="0" applyFont="1" applyAlignment="1">
      <alignment horizontal="center"/>
    </xf>
  </cellXfs>
  <cellStyles count="1">
    <cellStyle name="Normal" xfId="0" builtinId="0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9" formatCode="mm:ss.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Table12" displayName="Table12" ref="A1:H226" totalsRowShown="0">
  <autoFilter ref="A1:H226" xr:uid="{00000000-0009-0000-0100-00000C000000}"/>
  <tableColumns count="8">
    <tableColumn id="1" xr3:uid="{00000000-0010-0000-0000-000001000000}" name="Rank"/>
    <tableColumn id="3" xr3:uid="{00000000-0010-0000-0000-000003000000}" name="TFL/G"/>
    <tableColumn id="4" xr3:uid="{00000000-0010-0000-0000-000004000000}" name="Redzone TD%"/>
    <tableColumn id="5" xr3:uid="{00000000-0010-0000-0000-000005000000}" name="Redzone FG%"/>
    <tableColumn id="6" xr3:uid="{00000000-0010-0000-0000-000006000000}" name="Points Allowed/Game"/>
    <tableColumn id="7" xr3:uid="{00000000-0010-0000-0000-000007000000}" name="Turnovers Created"/>
    <tableColumn id="8" xr3:uid="{00000000-0010-0000-0000-000008000000}" name="Yards Allowed Per Paly"/>
    <tableColumn id="9" xr3:uid="{00000000-0010-0000-0000-000009000000}" name="Yards Allowed Per G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ReducedData" displayName="STReducedData" ref="A1:F226" totalsRowShown="0">
  <autoFilter ref="A1:F226" xr:uid="{00000000-0009-0000-0100-000001000000}"/>
  <tableColumns count="6">
    <tableColumn id="1" xr3:uid="{00000000-0010-0000-0100-000001000000}" name="Rank"/>
    <tableColumn id="3" xr3:uid="{00000000-0010-0000-0100-000003000000}" name="Field Goal %"/>
    <tableColumn id="4" xr3:uid="{00000000-0010-0000-0100-000004000000}" name="Avg. Kick Return"/>
    <tableColumn id="5" xr3:uid="{00000000-0010-0000-0100-000005000000}" name="Avg. Punt Return"/>
    <tableColumn id="6" xr3:uid="{00000000-0010-0000-0100-000006000000}" name="Avg. Kick Return Allowed"/>
    <tableColumn id="7" xr3:uid="{00000000-0010-0000-0100-000007000000}" name="Avg. Punt Return Allow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02000000}" name="OffenseReducedData" displayName="OffenseReducedData" ref="A1:F1048576" totalsRowShown="0">
  <autoFilter ref="A1:F1048576" xr:uid="{00000000-0009-0000-0100-00002F000000}"/>
  <tableColumns count="6">
    <tableColumn id="1" xr3:uid="{00000000-0010-0000-0200-000001000000}" name="Rank"/>
    <tableColumn id="3" xr3:uid="{00000000-0010-0000-0200-000003000000}" name="PPG"/>
    <tableColumn id="5" xr3:uid="{00000000-0010-0000-0200-000005000000}" name="Redzone TD%"/>
    <tableColumn id="6" xr3:uid="{00000000-0010-0000-0200-000006000000}" name="Redzone FG%"/>
    <tableColumn id="7" xr3:uid="{00000000-0010-0000-0200-000007000000}" name="TOP/G"/>
    <tableColumn id="8" xr3:uid="{00000000-0010-0000-0200-000008000000}" name="Turnovers Los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ffense_2016" displayName="Offense_2016" ref="A1:G131" totalsRowShown="0" headerRowDxfId="84" tableBorderDxfId="83">
  <autoFilter ref="A1:G131" xr:uid="{00000000-0009-0000-0100-000005000000}"/>
  <tableColumns count="7">
    <tableColumn id="1" xr3:uid="{00000000-0010-0000-0400-000001000000}" name="Name"/>
    <tableColumn id="2" xr3:uid="{00000000-0010-0000-0400-000002000000}" name="PPG"/>
    <tableColumn id="3" xr3:uid="{00000000-0010-0000-0400-000003000000}" name="Score %" dataDxfId="82"/>
    <tableColumn id="4" xr3:uid="{00000000-0010-0000-0400-000004000000}" name="TD %" dataDxfId="81"/>
    <tableColumn id="5" xr3:uid="{00000000-0010-0000-0400-000005000000}" name="FG %" dataDxfId="80"/>
    <tableColumn id="6" xr3:uid="{00000000-0010-0000-0400-000006000000}" name="TOP"/>
    <tableColumn id="7" xr3:uid="{00000000-0010-0000-0400-000007000000}" name="Turnovers Lo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Offense_2015" displayName="Offense_2015" ref="A1:G129" totalsRowShown="0" headerRowDxfId="79" dataDxfId="78" tableBorderDxfId="77">
  <autoFilter ref="A1:G129" xr:uid="{00000000-0009-0000-0100-00000A000000}"/>
  <tableColumns count="7">
    <tableColumn id="1" xr3:uid="{00000000-0010-0000-0500-000001000000}" name="Name" dataDxfId="76"/>
    <tableColumn id="2" xr3:uid="{00000000-0010-0000-0500-000002000000}" name="PPG" dataDxfId="75"/>
    <tableColumn id="3" xr3:uid="{00000000-0010-0000-0500-000003000000}" name="Score %" dataDxfId="74"/>
    <tableColumn id="4" xr3:uid="{00000000-0010-0000-0500-000004000000}" name="TD %" dataDxfId="73"/>
    <tableColumn id="5" xr3:uid="{00000000-0010-0000-0500-000005000000}" name="FG %" dataDxfId="72"/>
    <tableColumn id="6" xr3:uid="{00000000-0010-0000-0500-000006000000}" name="TOP/G" dataDxfId="71"/>
    <tableColumn id="7" xr3:uid="{00000000-0010-0000-0500-000007000000}" name="Turnovers Lost" dataDxfId="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6000000}" name="Offense_2014" displayName="Offense_2014" ref="A1:G129" totalsRowShown="0" headerRowDxfId="69" dataDxfId="68" tableBorderDxfId="67">
  <autoFilter ref="A1:G129" xr:uid="{00000000-0009-0000-0100-00000F000000}"/>
  <tableColumns count="7">
    <tableColumn id="1" xr3:uid="{00000000-0010-0000-0600-000001000000}" name="Name" dataDxfId="66"/>
    <tableColumn id="2" xr3:uid="{00000000-0010-0000-0600-000002000000}" name="PPG" dataDxfId="65"/>
    <tableColumn id="3" xr3:uid="{00000000-0010-0000-0600-000003000000}" name="Score %" dataDxfId="64"/>
    <tableColumn id="4" xr3:uid="{00000000-0010-0000-0600-000004000000}" name="TD %" dataDxfId="63"/>
    <tableColumn id="5" xr3:uid="{00000000-0010-0000-0600-000005000000}" name="FG %" dataDxfId="62"/>
    <tableColumn id="6" xr3:uid="{00000000-0010-0000-0600-000006000000}" name="TOP/G" dataDxfId="61"/>
    <tableColumn id="7" xr3:uid="{00000000-0010-0000-0600-000007000000}" name="Turnovers Lost" dataDxfId="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7000000}" name="Offense2013" displayName="Offense2013" ref="A1:G126" totalsRowShown="0" headerRowDxfId="59" dataDxfId="58" tableBorderDxfId="57">
  <autoFilter ref="A1:G126" xr:uid="{00000000-0009-0000-0100-000014000000}"/>
  <tableColumns count="7">
    <tableColumn id="1" xr3:uid="{00000000-0010-0000-0700-000001000000}" name="Name" dataDxfId="56"/>
    <tableColumn id="2" xr3:uid="{00000000-0010-0000-0700-000002000000}" name="PPG" dataDxfId="55"/>
    <tableColumn id="3" xr3:uid="{00000000-0010-0000-0700-000003000000}" name="Score %" dataDxfId="54"/>
    <tableColumn id="4" xr3:uid="{00000000-0010-0000-0700-000004000000}" name="TD %" dataDxfId="53"/>
    <tableColumn id="5" xr3:uid="{00000000-0010-0000-0700-000005000000}" name="FG %" dataDxfId="52"/>
    <tableColumn id="6" xr3:uid="{00000000-0010-0000-0700-000006000000}" name="TOP/G" dataDxfId="51"/>
    <tableColumn id="7" xr3:uid="{00000000-0010-0000-0700-000007000000}" name="Turnovers Lost" data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8000000}" name="Offense2012" displayName="Offense2012" ref="A1:G125" totalsRowShown="0" headerRowDxfId="49" dataDxfId="48" tableBorderDxfId="47">
  <autoFilter ref="A1:G125" xr:uid="{00000000-0009-0000-0100-000019000000}"/>
  <tableColumns count="7">
    <tableColumn id="1" xr3:uid="{00000000-0010-0000-0800-000001000000}" name="Name" dataDxfId="46"/>
    <tableColumn id="2" xr3:uid="{00000000-0010-0000-0800-000002000000}" name="PPG" dataDxfId="45"/>
    <tableColumn id="3" xr3:uid="{00000000-0010-0000-0800-000003000000}" name="Score %" dataDxfId="44"/>
    <tableColumn id="4" xr3:uid="{00000000-0010-0000-0800-000004000000}" name="TD %" dataDxfId="43"/>
    <tableColumn id="5" xr3:uid="{00000000-0010-0000-0800-000005000000}" name="FG %" dataDxfId="42"/>
    <tableColumn id="6" xr3:uid="{00000000-0010-0000-0800-000006000000}" name="TOP/G" dataDxfId="41"/>
    <tableColumn id="7" xr3:uid="{00000000-0010-0000-0800-000007000000}" name="Turnovers Lost" dataDxfId="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9000000}" name="Offense2011" displayName="Offense2011" ref="A1:G121" totalsRowShown="0" headerRowDxfId="39" dataDxfId="38" tableBorderDxfId="37">
  <autoFilter ref="A1:G121" xr:uid="{00000000-0009-0000-0100-00001E000000}"/>
  <tableColumns count="7">
    <tableColumn id="1" xr3:uid="{00000000-0010-0000-0900-000001000000}" name="Name" dataDxfId="36"/>
    <tableColumn id="2" xr3:uid="{00000000-0010-0000-0900-000002000000}" name="PPG" dataDxfId="35"/>
    <tableColumn id="3" xr3:uid="{00000000-0010-0000-0900-000003000000}" name="Score %" dataDxfId="34"/>
    <tableColumn id="4" xr3:uid="{00000000-0010-0000-0900-000004000000}" name="TD %" dataDxfId="33"/>
    <tableColumn id="5" xr3:uid="{00000000-0010-0000-0900-000005000000}" name="FG %" dataDxfId="32"/>
    <tableColumn id="6" xr3:uid="{00000000-0010-0000-0900-000006000000}" name="TOP/G" dataDxfId="31"/>
    <tableColumn id="7" xr3:uid="{00000000-0010-0000-0900-000007000000}" name="Turnovers Lost" dataDxfId="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0A000000}" name="Offense2010" displayName="Offense2010" ref="A1:G121" totalsRowShown="0" headerRowDxfId="29" dataDxfId="28" tableBorderDxfId="27">
  <autoFilter ref="A1:G121" xr:uid="{00000000-0009-0000-0100-000023000000}"/>
  <tableColumns count="7">
    <tableColumn id="1" xr3:uid="{00000000-0010-0000-0A00-000001000000}" name="Name" dataDxfId="26"/>
    <tableColumn id="2" xr3:uid="{00000000-0010-0000-0A00-000002000000}" name="PPG" dataDxfId="25"/>
    <tableColumn id="3" xr3:uid="{00000000-0010-0000-0A00-000003000000}" name="Score %" dataDxfId="24"/>
    <tableColumn id="4" xr3:uid="{00000000-0010-0000-0A00-000004000000}" name="TD %" dataDxfId="23"/>
    <tableColumn id="5" xr3:uid="{00000000-0010-0000-0A00-000005000000}" name="FG %" dataDxfId="22"/>
    <tableColumn id="6" xr3:uid="{00000000-0010-0000-0A00-000006000000}" name="TOP/G" dataDxfId="21"/>
    <tableColumn id="7" xr3:uid="{00000000-0010-0000-0A00-000007000000}" name="Turnovers Lost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B000000}" name="Offense2009" displayName="Offense2009" ref="A1:G121" totalsRowShown="0" headerRowDxfId="19" dataDxfId="18" tableBorderDxfId="17">
  <autoFilter ref="A1:G121" xr:uid="{00000000-0009-0000-0100-000028000000}"/>
  <tableColumns count="7">
    <tableColumn id="1" xr3:uid="{00000000-0010-0000-0B00-000001000000}" name="Name" dataDxfId="16"/>
    <tableColumn id="2" xr3:uid="{00000000-0010-0000-0B00-000002000000}" name="PPG" dataDxfId="15"/>
    <tableColumn id="3" xr3:uid="{00000000-0010-0000-0B00-000003000000}" name="Score %" dataDxfId="14"/>
    <tableColumn id="4" xr3:uid="{00000000-0010-0000-0B00-000004000000}" name="TD %" dataDxfId="13"/>
    <tableColumn id="5" xr3:uid="{00000000-0010-0000-0B00-000005000000}" name="FG %" dataDxfId="12"/>
    <tableColumn id="6" xr3:uid="{00000000-0010-0000-0B00-000006000000}" name="TOP/G" dataDxfId="11"/>
    <tableColumn id="7" xr3:uid="{00000000-0010-0000-0B00-000007000000}" name="Turnovers Lost" dataDxfId="1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C000000}" name="Offense2008" displayName="Offense2008" ref="A1:G121" totalsRowShown="0" headerRowDxfId="9" dataDxfId="8" tableBorderDxfId="7">
  <autoFilter ref="A1:G121" xr:uid="{00000000-0009-0000-0100-00002E000000}"/>
  <tableColumns count="7">
    <tableColumn id="1" xr3:uid="{00000000-0010-0000-0C00-000001000000}" name="Name" dataDxfId="6"/>
    <tableColumn id="2" xr3:uid="{00000000-0010-0000-0C00-000002000000}" name="PPG" dataDxfId="5"/>
    <tableColumn id="3" xr3:uid="{00000000-0010-0000-0C00-000003000000}" name="Score %" dataDxfId="4"/>
    <tableColumn id="4" xr3:uid="{00000000-0010-0000-0C00-000004000000}" name="TD %" dataDxfId="3"/>
    <tableColumn id="5" xr3:uid="{00000000-0010-0000-0C00-000005000000}" name="FG %" dataDxfId="2"/>
    <tableColumn id="6" xr3:uid="{00000000-0010-0000-0C00-000006000000}" name="TOP/G" dataDxfId="1"/>
    <tableColumn id="7" xr3:uid="{00000000-0010-0000-0C00-000007000000}" name="Turnovers Lo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26"/>
  <sheetViews>
    <sheetView showGridLines="0" workbookViewId="0">
      <selection activeCell="A2" sqref="A2"/>
    </sheetView>
  </sheetViews>
  <sheetFormatPr baseColWidth="10" defaultColWidth="8.83203125" defaultRowHeight="15" x14ac:dyDescent="0.2"/>
  <cols>
    <col min="1" max="1" width="7.5" bestFit="1" customWidth="1"/>
    <col min="2" max="2" width="8.5" bestFit="1" customWidth="1"/>
    <col min="3" max="4" width="15.5" bestFit="1" customWidth="1"/>
    <col min="5" max="5" width="23.1640625" bestFit="1" customWidth="1"/>
    <col min="6" max="6" width="19.83203125" bestFit="1" customWidth="1"/>
    <col min="7" max="7" width="24" bestFit="1" customWidth="1"/>
    <col min="8" max="8" width="25.5" bestFit="1" customWidth="1"/>
  </cols>
  <sheetData>
    <row r="1" spans="1:11" x14ac:dyDescent="0.2">
      <c r="A1" t="s">
        <v>137</v>
      </c>
      <c r="B1" t="s">
        <v>178</v>
      </c>
      <c r="C1" s="19" t="s">
        <v>146</v>
      </c>
      <c r="D1" s="19" t="s">
        <v>147</v>
      </c>
      <c r="E1" s="19" t="s">
        <v>182</v>
      </c>
      <c r="F1" t="s">
        <v>179</v>
      </c>
      <c r="G1" s="19" t="s">
        <v>183</v>
      </c>
      <c r="H1" t="s">
        <v>180</v>
      </c>
    </row>
    <row r="2" spans="1:11" x14ac:dyDescent="0.2">
      <c r="A2">
        <v>1</v>
      </c>
      <c r="B2">
        <v>8.67</v>
      </c>
      <c r="C2">
        <v>57.89</v>
      </c>
      <c r="D2">
        <v>21.05</v>
      </c>
      <c r="E2">
        <v>18</v>
      </c>
      <c r="F2">
        <v>27</v>
      </c>
      <c r="G2">
        <v>4.63</v>
      </c>
      <c r="H2">
        <v>311.5</v>
      </c>
      <c r="K2" s="19"/>
    </row>
    <row r="3" spans="1:11" x14ac:dyDescent="0.2">
      <c r="A3">
        <v>2</v>
      </c>
      <c r="B3">
        <v>7.87</v>
      </c>
      <c r="C3">
        <v>48</v>
      </c>
      <c r="D3">
        <v>36</v>
      </c>
      <c r="E3">
        <v>13</v>
      </c>
      <c r="F3">
        <v>29</v>
      </c>
      <c r="G3">
        <v>3.99</v>
      </c>
      <c r="H3">
        <v>261.8</v>
      </c>
    </row>
    <row r="4" spans="1:11" x14ac:dyDescent="0.2">
      <c r="A4">
        <v>3</v>
      </c>
      <c r="B4">
        <v>5.46</v>
      </c>
      <c r="C4">
        <v>65.790000000000006</v>
      </c>
      <c r="D4">
        <v>15.79</v>
      </c>
      <c r="E4">
        <v>24.2</v>
      </c>
      <c r="F4">
        <v>20</v>
      </c>
      <c r="G4">
        <v>5.38</v>
      </c>
      <c r="H4">
        <v>367.2</v>
      </c>
    </row>
    <row r="5" spans="1:11" x14ac:dyDescent="0.2">
      <c r="A5">
        <v>4</v>
      </c>
      <c r="B5">
        <v>6.5</v>
      </c>
      <c r="C5">
        <v>54.55</v>
      </c>
      <c r="D5">
        <v>20.45</v>
      </c>
      <c r="E5">
        <v>17.7</v>
      </c>
      <c r="F5">
        <v>33</v>
      </c>
      <c r="G5">
        <v>4.6100000000000003</v>
      </c>
      <c r="H5">
        <v>316.89999999999998</v>
      </c>
    </row>
    <row r="6" spans="1:11" x14ac:dyDescent="0.2">
      <c r="A6">
        <v>5</v>
      </c>
      <c r="B6">
        <v>5.23</v>
      </c>
      <c r="C6">
        <v>47.83</v>
      </c>
      <c r="D6">
        <v>30.43</v>
      </c>
      <c r="E6">
        <v>28.8</v>
      </c>
      <c r="F6">
        <v>17</v>
      </c>
      <c r="G6">
        <v>5.85</v>
      </c>
      <c r="H6">
        <v>432</v>
      </c>
    </row>
    <row r="7" spans="1:11" x14ac:dyDescent="0.2">
      <c r="A7">
        <v>6</v>
      </c>
      <c r="B7">
        <v>6.69</v>
      </c>
      <c r="C7">
        <v>37.5</v>
      </c>
      <c r="D7">
        <v>35</v>
      </c>
      <c r="E7">
        <v>15.5</v>
      </c>
      <c r="F7">
        <v>27</v>
      </c>
      <c r="G7">
        <v>4.3600000000000003</v>
      </c>
      <c r="H7">
        <v>296.10000000000002</v>
      </c>
    </row>
    <row r="8" spans="1:11" x14ac:dyDescent="0.2">
      <c r="A8">
        <v>7</v>
      </c>
      <c r="B8">
        <v>8.14</v>
      </c>
      <c r="C8">
        <v>60.42</v>
      </c>
      <c r="D8">
        <v>29.17</v>
      </c>
      <c r="E8">
        <v>25.4</v>
      </c>
      <c r="F8">
        <v>21</v>
      </c>
      <c r="G8">
        <v>5.04</v>
      </c>
      <c r="H8">
        <v>367.9</v>
      </c>
    </row>
    <row r="9" spans="1:11" x14ac:dyDescent="0.2">
      <c r="A9">
        <v>8</v>
      </c>
      <c r="B9">
        <v>7.31</v>
      </c>
      <c r="C9">
        <v>57.78</v>
      </c>
      <c r="D9">
        <v>22.22</v>
      </c>
      <c r="E9">
        <v>25</v>
      </c>
      <c r="F9">
        <v>23</v>
      </c>
      <c r="G9">
        <v>5.27</v>
      </c>
      <c r="H9">
        <v>349.1</v>
      </c>
    </row>
    <row r="10" spans="1:11" x14ac:dyDescent="0.2">
      <c r="A10">
        <v>9</v>
      </c>
      <c r="B10">
        <v>5.29</v>
      </c>
      <c r="C10">
        <v>44.74</v>
      </c>
      <c r="D10">
        <v>34.21</v>
      </c>
      <c r="E10">
        <v>15.6</v>
      </c>
      <c r="F10">
        <v>28</v>
      </c>
      <c r="G10">
        <v>4.92</v>
      </c>
      <c r="H10">
        <v>301.39999999999998</v>
      </c>
    </row>
    <row r="11" spans="1:11" x14ac:dyDescent="0.2">
      <c r="A11">
        <v>10</v>
      </c>
      <c r="B11">
        <v>9.23</v>
      </c>
      <c r="C11">
        <v>50</v>
      </c>
      <c r="D11">
        <v>21.43</v>
      </c>
      <c r="E11">
        <v>14.1</v>
      </c>
      <c r="F11">
        <v>19</v>
      </c>
      <c r="G11">
        <v>4.21</v>
      </c>
      <c r="H11">
        <v>261.8</v>
      </c>
    </row>
    <row r="12" spans="1:11" x14ac:dyDescent="0.2">
      <c r="A12">
        <v>11</v>
      </c>
      <c r="B12">
        <v>6.92</v>
      </c>
      <c r="C12">
        <v>58.33</v>
      </c>
      <c r="D12">
        <v>16.670000000000002</v>
      </c>
      <c r="E12">
        <v>26.5</v>
      </c>
      <c r="F12">
        <v>25</v>
      </c>
      <c r="G12">
        <v>5.93</v>
      </c>
      <c r="H12">
        <v>446.3</v>
      </c>
    </row>
    <row r="13" spans="1:11" x14ac:dyDescent="0.2">
      <c r="A13">
        <v>12</v>
      </c>
      <c r="B13">
        <v>5.54</v>
      </c>
      <c r="C13">
        <v>57.78</v>
      </c>
      <c r="D13">
        <v>22.22</v>
      </c>
      <c r="E13">
        <v>20.399999999999999</v>
      </c>
      <c r="F13">
        <v>20</v>
      </c>
      <c r="G13">
        <v>5.35</v>
      </c>
      <c r="H13">
        <v>368.1</v>
      </c>
    </row>
    <row r="14" spans="1:11" x14ac:dyDescent="0.2">
      <c r="A14">
        <v>13</v>
      </c>
      <c r="B14">
        <v>6.5</v>
      </c>
      <c r="C14">
        <v>24.24</v>
      </c>
      <c r="D14">
        <v>57.58</v>
      </c>
      <c r="E14">
        <v>15.8</v>
      </c>
      <c r="F14">
        <v>17</v>
      </c>
      <c r="G14">
        <v>4.76</v>
      </c>
      <c r="H14">
        <v>314.39999999999998</v>
      </c>
    </row>
    <row r="15" spans="1:11" x14ac:dyDescent="0.2">
      <c r="A15">
        <v>14</v>
      </c>
      <c r="B15">
        <v>6.15</v>
      </c>
      <c r="C15">
        <v>46.15</v>
      </c>
      <c r="D15">
        <v>25.64</v>
      </c>
      <c r="E15">
        <v>16.8</v>
      </c>
      <c r="F15">
        <v>24</v>
      </c>
      <c r="G15">
        <v>4.66</v>
      </c>
      <c r="H15">
        <v>292.8</v>
      </c>
    </row>
    <row r="16" spans="1:11" x14ac:dyDescent="0.2">
      <c r="A16">
        <v>15</v>
      </c>
      <c r="B16">
        <v>5.57</v>
      </c>
      <c r="C16">
        <v>58.33</v>
      </c>
      <c r="D16">
        <v>25</v>
      </c>
      <c r="E16">
        <v>19.8</v>
      </c>
      <c r="F16">
        <v>26</v>
      </c>
      <c r="G16">
        <v>5.82</v>
      </c>
      <c r="H16">
        <v>353.6</v>
      </c>
    </row>
    <row r="17" spans="1:8" x14ac:dyDescent="0.2">
      <c r="A17">
        <v>16</v>
      </c>
      <c r="B17">
        <v>8.07</v>
      </c>
      <c r="C17">
        <v>60.98</v>
      </c>
      <c r="D17">
        <v>21.95</v>
      </c>
      <c r="E17">
        <v>22.8</v>
      </c>
      <c r="F17">
        <v>25</v>
      </c>
      <c r="G17">
        <v>4.99</v>
      </c>
      <c r="H17">
        <v>340.7</v>
      </c>
    </row>
    <row r="18" spans="1:8" x14ac:dyDescent="0.2">
      <c r="A18">
        <v>17</v>
      </c>
      <c r="B18">
        <v>4.8600000000000003</v>
      </c>
      <c r="C18">
        <v>51.06</v>
      </c>
      <c r="D18">
        <v>23.4</v>
      </c>
      <c r="E18">
        <v>21.7</v>
      </c>
      <c r="F18">
        <v>26</v>
      </c>
      <c r="G18">
        <v>4.87</v>
      </c>
      <c r="H18">
        <v>342.5</v>
      </c>
    </row>
    <row r="19" spans="1:8" x14ac:dyDescent="0.2">
      <c r="A19">
        <v>18</v>
      </c>
      <c r="B19">
        <v>4.6900000000000004</v>
      </c>
      <c r="C19">
        <v>50</v>
      </c>
      <c r="D19">
        <v>34</v>
      </c>
      <c r="E19">
        <v>24</v>
      </c>
      <c r="F19">
        <v>25</v>
      </c>
      <c r="G19">
        <v>5.56</v>
      </c>
      <c r="H19">
        <v>425.9</v>
      </c>
    </row>
    <row r="20" spans="1:8" x14ac:dyDescent="0.2">
      <c r="A20">
        <v>19</v>
      </c>
      <c r="B20">
        <v>6.08</v>
      </c>
      <c r="C20">
        <v>61.67</v>
      </c>
      <c r="D20">
        <v>23.33</v>
      </c>
      <c r="E20">
        <v>31.6</v>
      </c>
      <c r="F20">
        <v>26</v>
      </c>
      <c r="G20">
        <v>5.82</v>
      </c>
      <c r="H20">
        <v>482</v>
      </c>
    </row>
    <row r="21" spans="1:8" x14ac:dyDescent="0.2">
      <c r="A21">
        <v>20</v>
      </c>
      <c r="B21">
        <v>8.31</v>
      </c>
      <c r="C21">
        <v>51.28</v>
      </c>
      <c r="D21">
        <v>28.21</v>
      </c>
      <c r="E21">
        <v>18.5</v>
      </c>
      <c r="F21">
        <v>19</v>
      </c>
      <c r="G21">
        <v>4.75</v>
      </c>
      <c r="H21">
        <v>345.4</v>
      </c>
    </row>
    <row r="22" spans="1:8" x14ac:dyDescent="0.2">
      <c r="A22">
        <v>21</v>
      </c>
      <c r="B22">
        <v>7.23</v>
      </c>
      <c r="C22">
        <v>62.86</v>
      </c>
      <c r="D22">
        <v>25.71</v>
      </c>
      <c r="E22">
        <v>23.8</v>
      </c>
      <c r="F22">
        <v>25</v>
      </c>
      <c r="G22">
        <v>4.6900000000000004</v>
      </c>
      <c r="H22">
        <v>322.2</v>
      </c>
    </row>
    <row r="23" spans="1:8" x14ac:dyDescent="0.2">
      <c r="A23">
        <v>22</v>
      </c>
      <c r="B23">
        <v>7.69</v>
      </c>
      <c r="C23">
        <v>62</v>
      </c>
      <c r="D23">
        <v>24</v>
      </c>
      <c r="E23">
        <v>28.8</v>
      </c>
      <c r="F23">
        <v>24</v>
      </c>
      <c r="G23">
        <v>5.84</v>
      </c>
      <c r="H23">
        <v>449.2</v>
      </c>
    </row>
    <row r="24" spans="1:8" x14ac:dyDescent="0.2">
      <c r="A24">
        <v>23</v>
      </c>
      <c r="B24">
        <v>7.85</v>
      </c>
      <c r="C24">
        <v>62.16</v>
      </c>
      <c r="D24">
        <v>24.32</v>
      </c>
      <c r="E24">
        <v>23.9</v>
      </c>
      <c r="F24">
        <v>31</v>
      </c>
      <c r="G24">
        <v>5.56</v>
      </c>
      <c r="H24">
        <v>383</v>
      </c>
    </row>
    <row r="25" spans="1:8" x14ac:dyDescent="0.2">
      <c r="A25">
        <v>24</v>
      </c>
      <c r="B25">
        <v>6.39</v>
      </c>
      <c r="C25">
        <v>41.86</v>
      </c>
      <c r="D25">
        <v>32.56</v>
      </c>
      <c r="E25">
        <v>17.100000000000001</v>
      </c>
      <c r="F25">
        <v>17</v>
      </c>
      <c r="G25">
        <v>5.07</v>
      </c>
      <c r="H25">
        <v>361.9</v>
      </c>
    </row>
    <row r="26" spans="1:8" x14ac:dyDescent="0.2">
      <c r="A26">
        <v>25</v>
      </c>
      <c r="B26">
        <v>5.43</v>
      </c>
      <c r="C26">
        <v>66.67</v>
      </c>
      <c r="D26">
        <v>18.52</v>
      </c>
      <c r="E26">
        <v>20.2</v>
      </c>
      <c r="F26">
        <v>29</v>
      </c>
      <c r="G26">
        <v>4.7699999999999996</v>
      </c>
      <c r="H26">
        <v>315.39999999999998</v>
      </c>
    </row>
    <row r="27" spans="1:8" x14ac:dyDescent="0.2">
      <c r="A27">
        <v>1</v>
      </c>
      <c r="B27">
        <v>7.2</v>
      </c>
      <c r="C27">
        <v>46.67</v>
      </c>
      <c r="D27">
        <v>36.67</v>
      </c>
      <c r="E27">
        <v>15.1</v>
      </c>
      <c r="F27">
        <v>27</v>
      </c>
      <c r="G27">
        <v>4.3</v>
      </c>
      <c r="H27">
        <v>276.3</v>
      </c>
    </row>
    <row r="28" spans="1:8" x14ac:dyDescent="0.2">
      <c r="A28">
        <v>2</v>
      </c>
      <c r="B28">
        <v>8.4</v>
      </c>
      <c r="C28">
        <v>57.14</v>
      </c>
      <c r="D28">
        <v>26.19</v>
      </c>
      <c r="E28">
        <v>21.7</v>
      </c>
      <c r="F28">
        <v>25</v>
      </c>
      <c r="G28">
        <v>4.8499999999999996</v>
      </c>
      <c r="H28">
        <v>313</v>
      </c>
    </row>
    <row r="29" spans="1:8" x14ac:dyDescent="0.2">
      <c r="A29">
        <v>3</v>
      </c>
      <c r="B29">
        <v>5.93</v>
      </c>
      <c r="C29">
        <v>44.68</v>
      </c>
      <c r="D29">
        <v>42.55</v>
      </c>
      <c r="E29">
        <v>22.6</v>
      </c>
      <c r="F29">
        <v>14</v>
      </c>
      <c r="G29">
        <v>5.57</v>
      </c>
      <c r="H29">
        <v>368.3</v>
      </c>
    </row>
    <row r="30" spans="1:8" x14ac:dyDescent="0.2">
      <c r="A30">
        <v>4</v>
      </c>
      <c r="B30">
        <v>6.39</v>
      </c>
      <c r="C30">
        <v>61.29</v>
      </c>
      <c r="D30">
        <v>19.350000000000001</v>
      </c>
      <c r="E30">
        <v>15.1</v>
      </c>
      <c r="F30">
        <v>21</v>
      </c>
      <c r="G30">
        <v>4.5</v>
      </c>
      <c r="H30">
        <v>311.3</v>
      </c>
    </row>
    <row r="31" spans="1:8" x14ac:dyDescent="0.2">
      <c r="A31">
        <v>5</v>
      </c>
      <c r="B31">
        <v>6.92</v>
      </c>
      <c r="C31">
        <v>53.49</v>
      </c>
      <c r="D31">
        <v>25.58</v>
      </c>
      <c r="E31">
        <v>22</v>
      </c>
      <c r="F31">
        <v>27</v>
      </c>
      <c r="G31">
        <v>4.79</v>
      </c>
      <c r="H31">
        <v>364.5</v>
      </c>
    </row>
    <row r="32" spans="1:8" x14ac:dyDescent="0.2">
      <c r="A32">
        <v>6</v>
      </c>
      <c r="B32">
        <v>6.79</v>
      </c>
      <c r="C32">
        <v>63.41</v>
      </c>
      <c r="D32">
        <v>21.95</v>
      </c>
      <c r="E32">
        <v>21.7</v>
      </c>
      <c r="F32">
        <v>28</v>
      </c>
      <c r="G32">
        <v>5.47</v>
      </c>
      <c r="H32">
        <v>349.9</v>
      </c>
    </row>
    <row r="33" spans="1:8" x14ac:dyDescent="0.2">
      <c r="A33">
        <v>7</v>
      </c>
      <c r="B33">
        <v>6.46</v>
      </c>
      <c r="C33">
        <v>60</v>
      </c>
      <c r="D33">
        <v>17.78</v>
      </c>
      <c r="E33">
        <v>27.2</v>
      </c>
      <c r="F33">
        <v>19</v>
      </c>
      <c r="G33">
        <v>5.16</v>
      </c>
      <c r="H33">
        <v>398.4</v>
      </c>
    </row>
    <row r="34" spans="1:8" x14ac:dyDescent="0.2">
      <c r="A34">
        <v>8</v>
      </c>
      <c r="B34">
        <v>6.07</v>
      </c>
      <c r="C34">
        <v>71.430000000000007</v>
      </c>
      <c r="D34">
        <v>20</v>
      </c>
      <c r="E34">
        <v>20.7</v>
      </c>
      <c r="F34">
        <v>35</v>
      </c>
      <c r="G34">
        <v>5.48</v>
      </c>
      <c r="H34">
        <v>383.6</v>
      </c>
    </row>
    <row r="35" spans="1:8" x14ac:dyDescent="0.2">
      <c r="A35">
        <v>9</v>
      </c>
      <c r="B35">
        <v>4.43</v>
      </c>
      <c r="C35">
        <v>50</v>
      </c>
      <c r="D35">
        <v>30.56</v>
      </c>
      <c r="E35">
        <v>20.399999999999999</v>
      </c>
      <c r="F35">
        <v>27</v>
      </c>
      <c r="G35">
        <v>4.96</v>
      </c>
      <c r="H35">
        <v>341</v>
      </c>
    </row>
    <row r="36" spans="1:8" x14ac:dyDescent="0.2">
      <c r="A36">
        <v>10</v>
      </c>
      <c r="B36">
        <v>8.08</v>
      </c>
      <c r="C36">
        <v>50</v>
      </c>
      <c r="D36">
        <v>34</v>
      </c>
      <c r="E36">
        <v>22.6</v>
      </c>
      <c r="F36">
        <v>23</v>
      </c>
      <c r="G36">
        <v>4.87</v>
      </c>
      <c r="H36">
        <v>385.8</v>
      </c>
    </row>
    <row r="37" spans="1:8" x14ac:dyDescent="0.2">
      <c r="A37">
        <v>11</v>
      </c>
      <c r="B37">
        <v>6.46</v>
      </c>
      <c r="C37">
        <v>65.849999999999994</v>
      </c>
      <c r="D37">
        <v>14.63</v>
      </c>
      <c r="E37">
        <v>24.1</v>
      </c>
      <c r="F37">
        <v>14</v>
      </c>
      <c r="G37">
        <v>5.57</v>
      </c>
      <c r="H37">
        <v>372.7</v>
      </c>
    </row>
    <row r="38" spans="1:8" x14ac:dyDescent="0.2">
      <c r="A38">
        <v>12</v>
      </c>
      <c r="B38">
        <v>6.77</v>
      </c>
      <c r="C38">
        <v>41.18</v>
      </c>
      <c r="D38">
        <v>38.24</v>
      </c>
      <c r="E38">
        <v>16.399999999999999</v>
      </c>
      <c r="F38">
        <v>12</v>
      </c>
      <c r="G38">
        <v>4.46</v>
      </c>
      <c r="H38">
        <v>280.7</v>
      </c>
    </row>
    <row r="39" spans="1:8" x14ac:dyDescent="0.2">
      <c r="A39">
        <v>13</v>
      </c>
      <c r="B39">
        <v>7.54</v>
      </c>
      <c r="C39">
        <v>71.430000000000007</v>
      </c>
      <c r="D39">
        <v>19.05</v>
      </c>
      <c r="E39">
        <v>28.3</v>
      </c>
      <c r="F39">
        <v>26</v>
      </c>
      <c r="G39">
        <v>5.19</v>
      </c>
      <c r="H39">
        <v>396.5</v>
      </c>
    </row>
    <row r="40" spans="1:8" x14ac:dyDescent="0.2">
      <c r="A40">
        <v>14</v>
      </c>
      <c r="B40">
        <v>5.85</v>
      </c>
      <c r="C40">
        <v>48.57</v>
      </c>
      <c r="D40">
        <v>34.29</v>
      </c>
      <c r="E40">
        <v>17.5</v>
      </c>
      <c r="F40">
        <v>15</v>
      </c>
      <c r="G40">
        <v>4.68</v>
      </c>
      <c r="H40">
        <v>336.9</v>
      </c>
    </row>
    <row r="41" spans="1:8" x14ac:dyDescent="0.2">
      <c r="A41">
        <v>15</v>
      </c>
      <c r="B41">
        <v>4.57</v>
      </c>
      <c r="C41">
        <v>62.07</v>
      </c>
      <c r="D41">
        <v>17.239999999999998</v>
      </c>
      <c r="E41">
        <v>24.5</v>
      </c>
      <c r="F41">
        <v>26</v>
      </c>
      <c r="G41">
        <v>5.5</v>
      </c>
      <c r="H41">
        <v>435.9</v>
      </c>
    </row>
    <row r="42" spans="1:8" x14ac:dyDescent="0.2">
      <c r="A42">
        <v>16</v>
      </c>
      <c r="B42">
        <v>6.33</v>
      </c>
      <c r="C42">
        <v>69.44</v>
      </c>
      <c r="D42">
        <v>16.670000000000002</v>
      </c>
      <c r="E42">
        <v>24.3</v>
      </c>
      <c r="F42">
        <v>17</v>
      </c>
      <c r="G42">
        <v>5.17</v>
      </c>
      <c r="H42">
        <v>347.2</v>
      </c>
    </row>
    <row r="43" spans="1:8" x14ac:dyDescent="0.2">
      <c r="A43">
        <v>17</v>
      </c>
      <c r="B43">
        <v>7.23</v>
      </c>
      <c r="C43">
        <v>56.52</v>
      </c>
      <c r="D43">
        <v>26.09</v>
      </c>
      <c r="E43">
        <v>22.3</v>
      </c>
      <c r="F43">
        <v>34</v>
      </c>
      <c r="G43">
        <v>5.18</v>
      </c>
      <c r="H43">
        <v>366.8</v>
      </c>
    </row>
    <row r="44" spans="1:8" x14ac:dyDescent="0.2">
      <c r="A44">
        <v>18</v>
      </c>
      <c r="B44">
        <v>4.3899999999999997</v>
      </c>
      <c r="C44">
        <v>60.53</v>
      </c>
      <c r="D44">
        <v>13.16</v>
      </c>
      <c r="E44">
        <v>21.8</v>
      </c>
      <c r="F44">
        <v>27</v>
      </c>
      <c r="G44">
        <v>5.65</v>
      </c>
      <c r="H44">
        <v>364.9</v>
      </c>
    </row>
    <row r="45" spans="1:8" x14ac:dyDescent="0.2">
      <c r="A45">
        <v>19</v>
      </c>
      <c r="B45">
        <v>7</v>
      </c>
      <c r="C45">
        <v>69.7</v>
      </c>
      <c r="D45">
        <v>21.21</v>
      </c>
      <c r="E45">
        <v>37.5</v>
      </c>
      <c r="F45">
        <v>22</v>
      </c>
      <c r="G45">
        <v>6.03</v>
      </c>
      <c r="H45">
        <v>485.3</v>
      </c>
    </row>
    <row r="46" spans="1:8" x14ac:dyDescent="0.2">
      <c r="A46">
        <v>20</v>
      </c>
      <c r="B46">
        <v>7.31</v>
      </c>
      <c r="C46">
        <v>66.67</v>
      </c>
      <c r="D46">
        <v>17.78</v>
      </c>
      <c r="E46">
        <v>30.5</v>
      </c>
      <c r="F46">
        <v>28</v>
      </c>
      <c r="G46">
        <v>5.69</v>
      </c>
      <c r="H46">
        <v>439.1</v>
      </c>
    </row>
    <row r="47" spans="1:8" x14ac:dyDescent="0.2">
      <c r="A47">
        <v>21</v>
      </c>
      <c r="B47">
        <v>5.69</v>
      </c>
      <c r="C47">
        <v>44</v>
      </c>
      <c r="D47">
        <v>32</v>
      </c>
      <c r="E47">
        <v>13.7</v>
      </c>
      <c r="F47">
        <v>21</v>
      </c>
      <c r="G47">
        <v>4.41</v>
      </c>
      <c r="H47">
        <v>268.5</v>
      </c>
    </row>
    <row r="48" spans="1:8" x14ac:dyDescent="0.2">
      <c r="A48">
        <v>22</v>
      </c>
      <c r="B48">
        <v>5.77</v>
      </c>
      <c r="C48">
        <v>56.1</v>
      </c>
      <c r="D48">
        <v>19.510000000000002</v>
      </c>
      <c r="E48">
        <v>20</v>
      </c>
      <c r="F48">
        <v>19</v>
      </c>
      <c r="G48">
        <v>5.21</v>
      </c>
      <c r="H48">
        <v>362</v>
      </c>
    </row>
    <row r="49" spans="1:8" x14ac:dyDescent="0.2">
      <c r="A49">
        <v>23</v>
      </c>
      <c r="B49">
        <v>7</v>
      </c>
      <c r="C49">
        <v>56.76</v>
      </c>
      <c r="D49">
        <v>21.62</v>
      </c>
      <c r="E49">
        <v>18.600000000000001</v>
      </c>
      <c r="F49">
        <v>21</v>
      </c>
      <c r="G49">
        <v>4.53</v>
      </c>
      <c r="H49">
        <v>318.89999999999998</v>
      </c>
    </row>
    <row r="50" spans="1:8" x14ac:dyDescent="0.2">
      <c r="A50">
        <v>24</v>
      </c>
      <c r="B50">
        <v>5.93</v>
      </c>
      <c r="C50">
        <v>61.22</v>
      </c>
      <c r="D50">
        <v>16.329999999999998</v>
      </c>
      <c r="E50">
        <v>25.9</v>
      </c>
      <c r="F50">
        <v>31</v>
      </c>
      <c r="G50">
        <v>5.69</v>
      </c>
      <c r="H50">
        <v>405.2</v>
      </c>
    </row>
    <row r="51" spans="1:8" x14ac:dyDescent="0.2">
      <c r="A51">
        <v>25</v>
      </c>
      <c r="B51">
        <v>7.21</v>
      </c>
      <c r="C51">
        <v>48.72</v>
      </c>
      <c r="D51">
        <v>30.77</v>
      </c>
      <c r="E51">
        <v>18.3</v>
      </c>
      <c r="F51">
        <v>25</v>
      </c>
      <c r="G51">
        <v>4.6500000000000004</v>
      </c>
      <c r="H51">
        <v>310.2</v>
      </c>
    </row>
    <row r="52" spans="1:8" x14ac:dyDescent="0.2">
      <c r="A52">
        <v>1</v>
      </c>
      <c r="B52">
        <v>7.33</v>
      </c>
      <c r="C52">
        <v>68.89</v>
      </c>
      <c r="D52">
        <v>15.56</v>
      </c>
      <c r="E52">
        <v>22</v>
      </c>
      <c r="F52">
        <v>33</v>
      </c>
      <c r="G52">
        <v>4.9800000000000004</v>
      </c>
      <c r="H52">
        <v>342.4</v>
      </c>
    </row>
    <row r="53" spans="1:8" x14ac:dyDescent="0.2">
      <c r="A53">
        <v>2</v>
      </c>
      <c r="B53">
        <v>6.27</v>
      </c>
      <c r="C53">
        <v>62.71</v>
      </c>
      <c r="D53">
        <v>22.03</v>
      </c>
      <c r="E53">
        <v>23.6</v>
      </c>
      <c r="F53">
        <v>34</v>
      </c>
      <c r="G53">
        <v>5.52</v>
      </c>
      <c r="H53">
        <v>429.7</v>
      </c>
    </row>
    <row r="54" spans="1:8" x14ac:dyDescent="0.2">
      <c r="A54">
        <v>3</v>
      </c>
      <c r="B54">
        <v>8.6199999999999992</v>
      </c>
      <c r="C54">
        <v>40.630000000000003</v>
      </c>
      <c r="D54">
        <v>43.75</v>
      </c>
      <c r="E54">
        <v>19</v>
      </c>
      <c r="F54">
        <v>40</v>
      </c>
      <c r="G54">
        <v>4.66</v>
      </c>
      <c r="H54">
        <v>341.8</v>
      </c>
    </row>
    <row r="55" spans="1:8" x14ac:dyDescent="0.2">
      <c r="A55">
        <v>4</v>
      </c>
      <c r="B55">
        <v>6.86</v>
      </c>
      <c r="C55">
        <v>38.64</v>
      </c>
      <c r="D55">
        <v>45.45</v>
      </c>
      <c r="E55">
        <v>18.399999999999999</v>
      </c>
      <c r="F55">
        <v>20</v>
      </c>
      <c r="G55">
        <v>4.87</v>
      </c>
      <c r="H55">
        <v>328.4</v>
      </c>
    </row>
    <row r="56" spans="1:8" x14ac:dyDescent="0.2">
      <c r="A56">
        <v>5</v>
      </c>
      <c r="B56">
        <v>5.43</v>
      </c>
      <c r="C56">
        <v>53.85</v>
      </c>
      <c r="D56">
        <v>21.15</v>
      </c>
      <c r="E56">
        <v>25.6</v>
      </c>
      <c r="F56">
        <v>26</v>
      </c>
      <c r="G56">
        <v>5.51</v>
      </c>
      <c r="H56">
        <v>396.9</v>
      </c>
    </row>
    <row r="57" spans="1:8" x14ac:dyDescent="0.2">
      <c r="A57">
        <v>6</v>
      </c>
      <c r="B57">
        <v>6.46</v>
      </c>
      <c r="C57">
        <v>70</v>
      </c>
      <c r="D57">
        <v>16.670000000000002</v>
      </c>
      <c r="E57">
        <v>21.5</v>
      </c>
      <c r="F57">
        <v>34</v>
      </c>
      <c r="G57">
        <v>5.09</v>
      </c>
      <c r="H57">
        <v>315.8</v>
      </c>
    </row>
    <row r="58" spans="1:8" x14ac:dyDescent="0.2">
      <c r="A58">
        <v>7</v>
      </c>
      <c r="B58">
        <v>7.23</v>
      </c>
      <c r="C58">
        <v>68.42</v>
      </c>
      <c r="D58">
        <v>18.420000000000002</v>
      </c>
      <c r="E58">
        <v>25.5</v>
      </c>
      <c r="F58">
        <v>26</v>
      </c>
      <c r="G58">
        <v>5.28</v>
      </c>
      <c r="H58">
        <v>381.8</v>
      </c>
    </row>
    <row r="59" spans="1:8" x14ac:dyDescent="0.2">
      <c r="A59">
        <v>8</v>
      </c>
      <c r="B59">
        <v>4.3600000000000003</v>
      </c>
      <c r="C59">
        <v>52.83</v>
      </c>
      <c r="D59">
        <v>26.42</v>
      </c>
      <c r="E59">
        <v>25.7</v>
      </c>
      <c r="F59">
        <v>29</v>
      </c>
      <c r="G59">
        <v>6.32</v>
      </c>
      <c r="H59">
        <v>411.3</v>
      </c>
    </row>
    <row r="60" spans="1:8" x14ac:dyDescent="0.2">
      <c r="A60">
        <v>9</v>
      </c>
      <c r="B60">
        <v>5.46</v>
      </c>
      <c r="C60">
        <v>67.5</v>
      </c>
      <c r="D60">
        <v>10</v>
      </c>
      <c r="E60">
        <v>20.7</v>
      </c>
      <c r="F60">
        <v>29</v>
      </c>
      <c r="G60">
        <v>4.84</v>
      </c>
      <c r="H60">
        <v>337.2</v>
      </c>
    </row>
    <row r="61" spans="1:8" x14ac:dyDescent="0.2">
      <c r="A61">
        <v>10</v>
      </c>
      <c r="B61">
        <v>6.15</v>
      </c>
      <c r="C61">
        <v>60</v>
      </c>
      <c r="D61">
        <v>24.44</v>
      </c>
      <c r="E61">
        <v>28.1</v>
      </c>
      <c r="F61">
        <v>16</v>
      </c>
      <c r="G61">
        <v>5.17</v>
      </c>
      <c r="H61">
        <v>398.5</v>
      </c>
    </row>
    <row r="62" spans="1:8" x14ac:dyDescent="0.2">
      <c r="A62">
        <v>11</v>
      </c>
      <c r="B62">
        <v>6.54</v>
      </c>
      <c r="C62">
        <v>43.18</v>
      </c>
      <c r="D62">
        <v>20.45</v>
      </c>
      <c r="E62">
        <v>21.7</v>
      </c>
      <c r="F62">
        <v>23</v>
      </c>
      <c r="G62">
        <v>5.65</v>
      </c>
      <c r="H62">
        <v>424.4</v>
      </c>
    </row>
    <row r="63" spans="1:8" x14ac:dyDescent="0.2">
      <c r="A63">
        <v>12</v>
      </c>
      <c r="B63">
        <v>7.54</v>
      </c>
      <c r="C63">
        <v>56.52</v>
      </c>
      <c r="D63">
        <v>19.57</v>
      </c>
      <c r="E63">
        <v>27.9</v>
      </c>
      <c r="F63">
        <v>27</v>
      </c>
      <c r="G63">
        <v>5.62</v>
      </c>
      <c r="H63">
        <v>417.1</v>
      </c>
    </row>
    <row r="64" spans="1:8" x14ac:dyDescent="0.2">
      <c r="A64">
        <v>13</v>
      </c>
      <c r="B64">
        <v>6.64</v>
      </c>
      <c r="C64">
        <v>59.38</v>
      </c>
      <c r="D64">
        <v>31.25</v>
      </c>
      <c r="E64">
        <v>20.8</v>
      </c>
      <c r="F64">
        <v>17</v>
      </c>
      <c r="G64">
        <v>4.91</v>
      </c>
      <c r="H64">
        <v>294.10000000000002</v>
      </c>
    </row>
    <row r="65" spans="1:8" x14ac:dyDescent="0.2">
      <c r="A65">
        <v>14</v>
      </c>
      <c r="B65">
        <v>7.43</v>
      </c>
      <c r="C65">
        <v>63.16</v>
      </c>
      <c r="D65">
        <v>23.68</v>
      </c>
      <c r="E65">
        <v>21.1</v>
      </c>
      <c r="F65">
        <v>25</v>
      </c>
      <c r="G65">
        <v>4.82</v>
      </c>
      <c r="H65">
        <v>345.9</v>
      </c>
    </row>
    <row r="66" spans="1:8" x14ac:dyDescent="0.2">
      <c r="A66">
        <v>15</v>
      </c>
      <c r="B66">
        <v>10.08</v>
      </c>
      <c r="C66">
        <v>55.56</v>
      </c>
      <c r="D66">
        <v>18.52</v>
      </c>
      <c r="E66">
        <v>16.7</v>
      </c>
      <c r="F66">
        <v>24</v>
      </c>
      <c r="G66">
        <v>4.03</v>
      </c>
      <c r="H66">
        <v>260.8</v>
      </c>
    </row>
    <row r="67" spans="1:8" x14ac:dyDescent="0.2">
      <c r="A67">
        <v>16</v>
      </c>
      <c r="B67">
        <v>7.79</v>
      </c>
      <c r="C67">
        <v>57.78</v>
      </c>
      <c r="D67">
        <v>22.22</v>
      </c>
      <c r="E67">
        <v>26.8</v>
      </c>
      <c r="F67">
        <v>31</v>
      </c>
      <c r="G67">
        <v>5.24</v>
      </c>
      <c r="H67">
        <v>375.4</v>
      </c>
    </row>
    <row r="68" spans="1:8" x14ac:dyDescent="0.2">
      <c r="A68">
        <v>17</v>
      </c>
      <c r="B68">
        <v>7.62</v>
      </c>
      <c r="C68">
        <v>41.18</v>
      </c>
      <c r="D68">
        <v>32.35</v>
      </c>
      <c r="E68">
        <v>16</v>
      </c>
      <c r="F68">
        <v>32</v>
      </c>
      <c r="G68">
        <v>4.67</v>
      </c>
      <c r="H68">
        <v>329</v>
      </c>
    </row>
    <row r="69" spans="1:8" x14ac:dyDescent="0.2">
      <c r="A69">
        <v>18</v>
      </c>
      <c r="B69">
        <v>5.62</v>
      </c>
      <c r="C69">
        <v>58.97</v>
      </c>
      <c r="D69">
        <v>20.51</v>
      </c>
      <c r="E69">
        <v>23.2</v>
      </c>
      <c r="F69">
        <v>21</v>
      </c>
      <c r="G69">
        <v>5.46</v>
      </c>
      <c r="H69">
        <v>369.3</v>
      </c>
    </row>
    <row r="70" spans="1:8" x14ac:dyDescent="0.2">
      <c r="A70">
        <v>19</v>
      </c>
      <c r="B70">
        <v>7</v>
      </c>
      <c r="C70">
        <v>60.38</v>
      </c>
      <c r="D70">
        <v>28.3</v>
      </c>
      <c r="E70">
        <v>28.2</v>
      </c>
      <c r="F70">
        <v>26</v>
      </c>
      <c r="G70">
        <v>5.66</v>
      </c>
      <c r="H70">
        <v>451</v>
      </c>
    </row>
    <row r="71" spans="1:8" x14ac:dyDescent="0.2">
      <c r="A71">
        <v>20</v>
      </c>
      <c r="B71">
        <v>6.15</v>
      </c>
      <c r="C71">
        <v>53.7</v>
      </c>
      <c r="D71">
        <v>20.37</v>
      </c>
      <c r="E71">
        <v>25.2</v>
      </c>
      <c r="F71">
        <v>23</v>
      </c>
      <c r="G71">
        <v>5.3</v>
      </c>
      <c r="H71">
        <v>407.9</v>
      </c>
    </row>
    <row r="72" spans="1:8" x14ac:dyDescent="0.2">
      <c r="A72">
        <v>21</v>
      </c>
      <c r="B72">
        <v>7.92</v>
      </c>
      <c r="C72">
        <v>64.099999999999994</v>
      </c>
      <c r="D72">
        <v>20.51</v>
      </c>
      <c r="E72">
        <v>24.9</v>
      </c>
      <c r="F72">
        <v>21</v>
      </c>
      <c r="G72">
        <v>5.34</v>
      </c>
      <c r="H72">
        <v>393.5</v>
      </c>
    </row>
    <row r="73" spans="1:8" x14ac:dyDescent="0.2">
      <c r="A73">
        <v>22</v>
      </c>
      <c r="B73">
        <v>6.31</v>
      </c>
      <c r="C73">
        <v>55.56</v>
      </c>
      <c r="D73">
        <v>18.52</v>
      </c>
      <c r="E73">
        <v>26.7</v>
      </c>
      <c r="F73">
        <v>27</v>
      </c>
      <c r="G73">
        <v>5.67</v>
      </c>
      <c r="H73">
        <v>398.8</v>
      </c>
    </row>
    <row r="74" spans="1:8" x14ac:dyDescent="0.2">
      <c r="A74">
        <v>23</v>
      </c>
      <c r="B74">
        <v>7.5</v>
      </c>
      <c r="C74">
        <v>50.98</v>
      </c>
      <c r="D74">
        <v>25.49</v>
      </c>
      <c r="E74">
        <v>21</v>
      </c>
      <c r="F74">
        <v>22</v>
      </c>
      <c r="G74">
        <v>4.7300000000000004</v>
      </c>
      <c r="H74">
        <v>357.1</v>
      </c>
    </row>
    <row r="75" spans="1:8" x14ac:dyDescent="0.2">
      <c r="A75">
        <v>24</v>
      </c>
      <c r="B75">
        <v>6.77</v>
      </c>
      <c r="C75">
        <v>41.03</v>
      </c>
      <c r="D75">
        <v>35.9</v>
      </c>
      <c r="E75">
        <v>21.8</v>
      </c>
      <c r="F75">
        <v>30</v>
      </c>
      <c r="G75">
        <v>4.75</v>
      </c>
      <c r="H75">
        <v>308.5</v>
      </c>
    </row>
    <row r="76" spans="1:8" x14ac:dyDescent="0.2">
      <c r="A76">
        <v>25</v>
      </c>
      <c r="B76">
        <v>6.69</v>
      </c>
      <c r="C76">
        <v>50</v>
      </c>
      <c r="D76">
        <v>18.75</v>
      </c>
      <c r="E76">
        <v>19.5</v>
      </c>
      <c r="F76">
        <v>31</v>
      </c>
      <c r="G76">
        <v>4.74</v>
      </c>
      <c r="H76">
        <v>349.5</v>
      </c>
    </row>
    <row r="77" spans="1:8" x14ac:dyDescent="0.2">
      <c r="A77">
        <v>1</v>
      </c>
      <c r="B77">
        <v>7</v>
      </c>
      <c r="C77">
        <v>53.33</v>
      </c>
      <c r="D77">
        <v>23.33</v>
      </c>
      <c r="E77">
        <v>12.1</v>
      </c>
      <c r="F77">
        <v>35</v>
      </c>
      <c r="G77">
        <v>4.09</v>
      </c>
      <c r="H77">
        <v>281.39999999999998</v>
      </c>
    </row>
    <row r="78" spans="1:8" x14ac:dyDescent="0.2">
      <c r="A78">
        <v>2</v>
      </c>
      <c r="B78">
        <v>6.43</v>
      </c>
      <c r="C78">
        <v>50</v>
      </c>
      <c r="D78">
        <v>23.08</v>
      </c>
      <c r="E78">
        <v>24.7</v>
      </c>
      <c r="F78">
        <v>19</v>
      </c>
      <c r="G78">
        <v>5.96</v>
      </c>
      <c r="H78">
        <v>420.7</v>
      </c>
    </row>
    <row r="79" spans="1:8" x14ac:dyDescent="0.2">
      <c r="A79">
        <v>3</v>
      </c>
      <c r="B79">
        <v>6.5</v>
      </c>
      <c r="C79">
        <v>46.67</v>
      </c>
      <c r="D79">
        <v>33.33</v>
      </c>
      <c r="E79">
        <v>13.2</v>
      </c>
      <c r="F79">
        <v>28</v>
      </c>
      <c r="G79">
        <v>4.04</v>
      </c>
      <c r="H79">
        <v>252.2</v>
      </c>
    </row>
    <row r="80" spans="1:8" x14ac:dyDescent="0.2">
      <c r="A80">
        <v>4</v>
      </c>
      <c r="B80">
        <v>6.69</v>
      </c>
      <c r="C80">
        <v>58.7</v>
      </c>
      <c r="D80">
        <v>21.74</v>
      </c>
      <c r="E80">
        <v>20.3</v>
      </c>
      <c r="F80">
        <v>30</v>
      </c>
      <c r="G80">
        <v>5.46</v>
      </c>
      <c r="H80">
        <v>350</v>
      </c>
    </row>
    <row r="81" spans="1:8" x14ac:dyDescent="0.2">
      <c r="A81">
        <v>5</v>
      </c>
      <c r="B81">
        <v>7.64</v>
      </c>
      <c r="C81">
        <v>58.33</v>
      </c>
      <c r="D81">
        <v>25</v>
      </c>
      <c r="E81">
        <v>23.1</v>
      </c>
      <c r="F81">
        <v>32</v>
      </c>
      <c r="G81">
        <v>5.42</v>
      </c>
      <c r="H81">
        <v>417.9</v>
      </c>
    </row>
    <row r="82" spans="1:8" x14ac:dyDescent="0.2">
      <c r="A82">
        <v>6</v>
      </c>
      <c r="B82">
        <v>5.62</v>
      </c>
      <c r="C82">
        <v>57.14</v>
      </c>
      <c r="D82">
        <v>28.57</v>
      </c>
      <c r="E82">
        <v>22.1</v>
      </c>
      <c r="F82">
        <v>25</v>
      </c>
      <c r="G82">
        <v>5.38</v>
      </c>
      <c r="H82">
        <v>350.2</v>
      </c>
    </row>
    <row r="83" spans="1:8" x14ac:dyDescent="0.2">
      <c r="A83">
        <v>7</v>
      </c>
      <c r="B83">
        <v>5.31</v>
      </c>
      <c r="C83">
        <v>56</v>
      </c>
      <c r="D83">
        <v>12</v>
      </c>
      <c r="E83">
        <v>13.9</v>
      </c>
      <c r="F83">
        <v>19</v>
      </c>
      <c r="G83">
        <v>4.83</v>
      </c>
      <c r="H83">
        <v>286.5</v>
      </c>
    </row>
    <row r="84" spans="1:8" x14ac:dyDescent="0.2">
      <c r="A84">
        <v>8</v>
      </c>
      <c r="B84">
        <v>9.4600000000000009</v>
      </c>
      <c r="C84">
        <v>63.64</v>
      </c>
      <c r="D84">
        <v>18.18</v>
      </c>
      <c r="E84">
        <v>22.2</v>
      </c>
      <c r="F84">
        <v>30</v>
      </c>
      <c r="G84">
        <v>5.03</v>
      </c>
      <c r="H84">
        <v>356.3</v>
      </c>
    </row>
    <row r="85" spans="1:8" x14ac:dyDescent="0.2">
      <c r="A85">
        <v>9</v>
      </c>
      <c r="B85">
        <v>5.39</v>
      </c>
      <c r="C85">
        <v>54.35</v>
      </c>
      <c r="D85">
        <v>26.09</v>
      </c>
      <c r="E85">
        <v>20.5</v>
      </c>
      <c r="F85">
        <v>29</v>
      </c>
      <c r="G85">
        <v>4.6100000000000003</v>
      </c>
      <c r="H85">
        <v>370.1</v>
      </c>
    </row>
    <row r="86" spans="1:8" x14ac:dyDescent="0.2">
      <c r="A86">
        <v>10</v>
      </c>
      <c r="B86">
        <v>6.23</v>
      </c>
      <c r="C86">
        <v>68.42</v>
      </c>
      <c r="D86">
        <v>5.26</v>
      </c>
      <c r="E86">
        <v>21.3</v>
      </c>
      <c r="F86">
        <v>26</v>
      </c>
      <c r="G86">
        <v>5.35</v>
      </c>
      <c r="H86">
        <v>362</v>
      </c>
    </row>
    <row r="87" spans="1:8" x14ac:dyDescent="0.2">
      <c r="A87">
        <v>11</v>
      </c>
      <c r="B87">
        <v>7.64</v>
      </c>
      <c r="C87">
        <v>48.84</v>
      </c>
      <c r="D87">
        <v>25.58</v>
      </c>
      <c r="E87">
        <v>19</v>
      </c>
      <c r="F87">
        <v>19</v>
      </c>
      <c r="G87">
        <v>4.8600000000000003</v>
      </c>
      <c r="H87">
        <v>343.5</v>
      </c>
    </row>
    <row r="88" spans="1:8" x14ac:dyDescent="0.2">
      <c r="A88">
        <v>12</v>
      </c>
      <c r="B88">
        <v>6.5</v>
      </c>
      <c r="C88">
        <v>67.44</v>
      </c>
      <c r="D88">
        <v>11.63</v>
      </c>
      <c r="E88">
        <v>22.6</v>
      </c>
      <c r="F88">
        <v>24</v>
      </c>
      <c r="G88">
        <v>5.28</v>
      </c>
      <c r="H88">
        <v>377.4</v>
      </c>
    </row>
    <row r="89" spans="1:8" x14ac:dyDescent="0.2">
      <c r="A89">
        <v>13</v>
      </c>
      <c r="B89">
        <v>7.62</v>
      </c>
      <c r="C89">
        <v>61.9</v>
      </c>
      <c r="D89">
        <v>14.29</v>
      </c>
      <c r="E89">
        <v>23.5</v>
      </c>
      <c r="F89">
        <v>29</v>
      </c>
      <c r="G89">
        <v>4.75</v>
      </c>
      <c r="H89">
        <v>360</v>
      </c>
    </row>
    <row r="90" spans="1:8" x14ac:dyDescent="0.2">
      <c r="A90">
        <v>14</v>
      </c>
      <c r="B90">
        <v>5.31</v>
      </c>
      <c r="C90">
        <v>48.84</v>
      </c>
      <c r="D90">
        <v>32.56</v>
      </c>
      <c r="E90">
        <v>22</v>
      </c>
      <c r="F90">
        <v>19</v>
      </c>
      <c r="G90">
        <v>5.08</v>
      </c>
      <c r="H90">
        <v>340.7</v>
      </c>
    </row>
    <row r="91" spans="1:8" x14ac:dyDescent="0.2">
      <c r="A91">
        <v>15</v>
      </c>
      <c r="B91">
        <v>7.85</v>
      </c>
      <c r="C91">
        <v>47.37</v>
      </c>
      <c r="D91">
        <v>21.05</v>
      </c>
      <c r="E91">
        <v>12.2</v>
      </c>
      <c r="F91">
        <v>27</v>
      </c>
      <c r="G91">
        <v>4.2</v>
      </c>
      <c r="H91">
        <v>251.5</v>
      </c>
    </row>
    <row r="92" spans="1:8" x14ac:dyDescent="0.2">
      <c r="A92">
        <v>16</v>
      </c>
      <c r="B92">
        <v>6</v>
      </c>
      <c r="C92">
        <v>61.7</v>
      </c>
      <c r="D92">
        <v>21.28</v>
      </c>
      <c r="E92">
        <v>23.2</v>
      </c>
      <c r="F92">
        <v>26</v>
      </c>
      <c r="G92">
        <v>5.07</v>
      </c>
      <c r="H92">
        <v>385.9</v>
      </c>
    </row>
    <row r="93" spans="1:8" x14ac:dyDescent="0.2">
      <c r="A93">
        <v>17</v>
      </c>
      <c r="B93">
        <v>7.23</v>
      </c>
      <c r="C93">
        <v>44.44</v>
      </c>
      <c r="D93">
        <v>26.67</v>
      </c>
      <c r="E93">
        <v>21.6</v>
      </c>
      <c r="F93">
        <v>33</v>
      </c>
      <c r="G93">
        <v>4.7699999999999996</v>
      </c>
      <c r="H93">
        <v>384.9</v>
      </c>
    </row>
    <row r="94" spans="1:8" x14ac:dyDescent="0.2">
      <c r="A94">
        <v>18</v>
      </c>
      <c r="B94">
        <v>5.15</v>
      </c>
      <c r="C94">
        <v>72.92</v>
      </c>
      <c r="D94">
        <v>14.58</v>
      </c>
      <c r="E94">
        <v>32.200000000000003</v>
      </c>
      <c r="F94">
        <v>22</v>
      </c>
      <c r="G94">
        <v>6.36</v>
      </c>
      <c r="H94">
        <v>475.8</v>
      </c>
    </row>
    <row r="95" spans="1:8" x14ac:dyDescent="0.2">
      <c r="A95">
        <v>19</v>
      </c>
      <c r="B95">
        <v>6.5</v>
      </c>
      <c r="C95">
        <v>51.16</v>
      </c>
      <c r="D95">
        <v>11.63</v>
      </c>
      <c r="E95">
        <v>21.2</v>
      </c>
      <c r="F95">
        <v>23</v>
      </c>
      <c r="G95">
        <v>4.9800000000000004</v>
      </c>
      <c r="H95">
        <v>334.9</v>
      </c>
    </row>
    <row r="96" spans="1:8" x14ac:dyDescent="0.2">
      <c r="A96">
        <v>20</v>
      </c>
      <c r="B96">
        <v>4.92</v>
      </c>
      <c r="C96">
        <v>52.08</v>
      </c>
      <c r="D96">
        <v>29.17</v>
      </c>
      <c r="E96">
        <v>22.4</v>
      </c>
      <c r="F96">
        <v>17</v>
      </c>
      <c r="G96">
        <v>5.12</v>
      </c>
      <c r="H96">
        <v>366.2</v>
      </c>
    </row>
    <row r="97" spans="1:8" x14ac:dyDescent="0.2">
      <c r="A97">
        <v>21</v>
      </c>
      <c r="B97">
        <v>7.21</v>
      </c>
      <c r="C97">
        <v>65.22</v>
      </c>
      <c r="D97">
        <v>21.74</v>
      </c>
      <c r="E97">
        <v>26.6</v>
      </c>
      <c r="F97">
        <v>33</v>
      </c>
      <c r="G97">
        <v>5.53</v>
      </c>
      <c r="H97">
        <v>372.4</v>
      </c>
    </row>
    <row r="98" spans="1:8" x14ac:dyDescent="0.2">
      <c r="A98">
        <v>22</v>
      </c>
      <c r="B98">
        <v>4.92</v>
      </c>
      <c r="C98">
        <v>42.42</v>
      </c>
      <c r="D98">
        <v>33.33</v>
      </c>
      <c r="E98">
        <v>16.3</v>
      </c>
      <c r="F98">
        <v>20</v>
      </c>
      <c r="G98">
        <v>4.7300000000000004</v>
      </c>
      <c r="H98">
        <v>305.10000000000002</v>
      </c>
    </row>
    <row r="99" spans="1:8" x14ac:dyDescent="0.2">
      <c r="A99">
        <v>23</v>
      </c>
      <c r="B99">
        <v>4.93</v>
      </c>
      <c r="C99">
        <v>64.44</v>
      </c>
      <c r="D99">
        <v>17.78</v>
      </c>
      <c r="E99">
        <v>26.6</v>
      </c>
      <c r="F99">
        <v>26</v>
      </c>
      <c r="G99">
        <v>5.67</v>
      </c>
      <c r="H99">
        <v>418</v>
      </c>
    </row>
    <row r="100" spans="1:8" x14ac:dyDescent="0.2">
      <c r="A100">
        <v>24</v>
      </c>
      <c r="B100">
        <v>6.77</v>
      </c>
      <c r="C100">
        <v>63.04</v>
      </c>
      <c r="D100">
        <v>23.91</v>
      </c>
      <c r="E100">
        <v>24.6</v>
      </c>
      <c r="F100">
        <v>30</v>
      </c>
      <c r="G100">
        <v>5.07</v>
      </c>
      <c r="H100">
        <v>354.8</v>
      </c>
    </row>
    <row r="101" spans="1:8" x14ac:dyDescent="0.2">
      <c r="A101">
        <v>25</v>
      </c>
      <c r="B101">
        <v>5.69</v>
      </c>
      <c r="C101">
        <v>58.7</v>
      </c>
      <c r="D101">
        <v>23.91</v>
      </c>
      <c r="E101">
        <v>22.8</v>
      </c>
      <c r="F101">
        <v>23</v>
      </c>
      <c r="G101">
        <v>4.9800000000000004</v>
      </c>
      <c r="H101">
        <v>388.9</v>
      </c>
    </row>
    <row r="102" spans="1:8" x14ac:dyDescent="0.2">
      <c r="A102">
        <v>1</v>
      </c>
      <c r="B102">
        <v>6.14</v>
      </c>
      <c r="C102">
        <v>55.17</v>
      </c>
      <c r="D102">
        <v>10.34</v>
      </c>
      <c r="E102">
        <v>10.9</v>
      </c>
      <c r="F102">
        <v>29</v>
      </c>
      <c r="G102">
        <v>4.18</v>
      </c>
      <c r="H102">
        <v>250</v>
      </c>
    </row>
    <row r="103" spans="1:8" x14ac:dyDescent="0.2">
      <c r="A103">
        <v>2</v>
      </c>
      <c r="B103">
        <v>6.46</v>
      </c>
      <c r="C103">
        <v>49.02</v>
      </c>
      <c r="D103">
        <v>19.61</v>
      </c>
      <c r="E103">
        <v>21.6</v>
      </c>
      <c r="F103">
        <v>40</v>
      </c>
      <c r="G103">
        <v>4.9400000000000004</v>
      </c>
      <c r="H103">
        <v>374.1</v>
      </c>
    </row>
    <row r="104" spans="1:8" x14ac:dyDescent="0.2">
      <c r="A104">
        <v>3</v>
      </c>
      <c r="B104">
        <v>5.33</v>
      </c>
      <c r="C104">
        <v>50</v>
      </c>
      <c r="D104">
        <v>22.22</v>
      </c>
      <c r="E104">
        <v>22.8</v>
      </c>
      <c r="F104">
        <v>21</v>
      </c>
      <c r="G104">
        <v>5.08</v>
      </c>
      <c r="H104">
        <v>359.6</v>
      </c>
    </row>
    <row r="105" spans="1:8" x14ac:dyDescent="0.2">
      <c r="A105">
        <v>4</v>
      </c>
      <c r="B105">
        <v>5.31</v>
      </c>
      <c r="C105">
        <v>34.21</v>
      </c>
      <c r="D105">
        <v>34.21</v>
      </c>
      <c r="E105">
        <v>12.8</v>
      </c>
      <c r="F105">
        <v>23</v>
      </c>
      <c r="G105">
        <v>4.78</v>
      </c>
      <c r="H105">
        <v>305.5</v>
      </c>
    </row>
    <row r="106" spans="1:8" x14ac:dyDescent="0.2">
      <c r="A106">
        <v>5</v>
      </c>
      <c r="B106">
        <v>6.5</v>
      </c>
      <c r="C106">
        <v>50</v>
      </c>
      <c r="D106">
        <v>23.91</v>
      </c>
      <c r="E106">
        <v>19.600000000000001</v>
      </c>
      <c r="F106">
        <v>30</v>
      </c>
      <c r="G106">
        <v>5.18</v>
      </c>
      <c r="H106">
        <v>357.8</v>
      </c>
    </row>
    <row r="107" spans="1:8" x14ac:dyDescent="0.2">
      <c r="A107">
        <v>6</v>
      </c>
      <c r="B107">
        <v>5.77</v>
      </c>
      <c r="C107">
        <v>57.14</v>
      </c>
      <c r="D107">
        <v>21.43</v>
      </c>
      <c r="E107">
        <v>21.8</v>
      </c>
      <c r="F107">
        <v>16</v>
      </c>
      <c r="G107">
        <v>5.22</v>
      </c>
      <c r="H107">
        <v>390.2</v>
      </c>
    </row>
    <row r="108" spans="1:8" x14ac:dyDescent="0.2">
      <c r="A108">
        <v>7</v>
      </c>
      <c r="B108">
        <v>8.86</v>
      </c>
      <c r="C108">
        <v>50</v>
      </c>
      <c r="D108">
        <v>28.57</v>
      </c>
      <c r="E108">
        <v>17.2</v>
      </c>
      <c r="F108">
        <v>27</v>
      </c>
      <c r="G108">
        <v>4.7300000000000004</v>
      </c>
      <c r="H108">
        <v>336.2</v>
      </c>
    </row>
    <row r="109" spans="1:8" x14ac:dyDescent="0.2">
      <c r="A109">
        <v>8</v>
      </c>
      <c r="B109">
        <v>7.23</v>
      </c>
      <c r="C109">
        <v>45.45</v>
      </c>
      <c r="D109">
        <v>29.55</v>
      </c>
      <c r="E109">
        <v>18.2</v>
      </c>
      <c r="F109">
        <v>24</v>
      </c>
      <c r="G109">
        <v>4.6500000000000004</v>
      </c>
      <c r="H109">
        <v>315.5</v>
      </c>
    </row>
    <row r="110" spans="1:8" x14ac:dyDescent="0.2">
      <c r="A110">
        <v>9</v>
      </c>
      <c r="B110">
        <v>6.77</v>
      </c>
      <c r="C110">
        <v>46.15</v>
      </c>
      <c r="D110">
        <v>25.64</v>
      </c>
      <c r="E110">
        <v>14.5</v>
      </c>
      <c r="F110">
        <v>30</v>
      </c>
      <c r="G110">
        <v>4.3499999999999996</v>
      </c>
      <c r="H110">
        <v>286.7</v>
      </c>
    </row>
    <row r="111" spans="1:8" x14ac:dyDescent="0.2">
      <c r="A111">
        <v>10</v>
      </c>
      <c r="B111">
        <v>6.14</v>
      </c>
      <c r="C111">
        <v>51.61</v>
      </c>
      <c r="D111">
        <v>35.479999999999997</v>
      </c>
      <c r="E111">
        <v>14.7</v>
      </c>
      <c r="F111">
        <v>22</v>
      </c>
      <c r="G111">
        <v>3.85</v>
      </c>
      <c r="H111">
        <v>253.8</v>
      </c>
    </row>
    <row r="112" spans="1:8" x14ac:dyDescent="0.2">
      <c r="A112">
        <v>11</v>
      </c>
      <c r="B112">
        <v>6.69</v>
      </c>
      <c r="C112">
        <v>52.27</v>
      </c>
      <c r="D112">
        <v>22.73</v>
      </c>
      <c r="E112">
        <v>24.8</v>
      </c>
      <c r="F112">
        <v>23</v>
      </c>
      <c r="G112">
        <v>5.65</v>
      </c>
      <c r="H112">
        <v>396.5</v>
      </c>
    </row>
    <row r="113" spans="1:8" x14ac:dyDescent="0.2">
      <c r="A113">
        <v>12</v>
      </c>
      <c r="B113">
        <v>5.92</v>
      </c>
      <c r="C113">
        <v>48.94</v>
      </c>
      <c r="D113">
        <v>29.79</v>
      </c>
      <c r="E113">
        <v>22.2</v>
      </c>
      <c r="F113">
        <v>32</v>
      </c>
      <c r="G113">
        <v>5.4</v>
      </c>
      <c r="H113">
        <v>376.1</v>
      </c>
    </row>
    <row r="114" spans="1:8" x14ac:dyDescent="0.2">
      <c r="A114">
        <v>13</v>
      </c>
      <c r="B114">
        <v>4.54</v>
      </c>
      <c r="C114">
        <v>66.67</v>
      </c>
      <c r="D114">
        <v>19.05</v>
      </c>
      <c r="E114">
        <v>23.8</v>
      </c>
      <c r="F114">
        <v>24</v>
      </c>
      <c r="G114">
        <v>5.32</v>
      </c>
      <c r="H114">
        <v>340.3</v>
      </c>
    </row>
    <row r="115" spans="1:8" x14ac:dyDescent="0.2">
      <c r="A115">
        <v>14</v>
      </c>
      <c r="B115">
        <v>7</v>
      </c>
      <c r="C115">
        <v>61.11</v>
      </c>
      <c r="D115">
        <v>19.440000000000001</v>
      </c>
      <c r="E115">
        <v>17.5</v>
      </c>
      <c r="F115">
        <v>33</v>
      </c>
      <c r="G115">
        <v>4.46</v>
      </c>
      <c r="H115">
        <v>307.60000000000002</v>
      </c>
    </row>
    <row r="116" spans="1:8" x14ac:dyDescent="0.2">
      <c r="A116">
        <v>15</v>
      </c>
      <c r="B116">
        <v>4.08</v>
      </c>
      <c r="C116">
        <v>64.290000000000006</v>
      </c>
      <c r="D116">
        <v>16.670000000000002</v>
      </c>
      <c r="E116">
        <v>25.5</v>
      </c>
      <c r="F116">
        <v>16</v>
      </c>
      <c r="G116">
        <v>5.74</v>
      </c>
      <c r="H116">
        <v>399.5</v>
      </c>
    </row>
    <row r="117" spans="1:8" x14ac:dyDescent="0.2">
      <c r="A117">
        <v>16</v>
      </c>
      <c r="B117">
        <v>6.15</v>
      </c>
      <c r="C117">
        <v>29.55</v>
      </c>
      <c r="D117">
        <v>34.090000000000003</v>
      </c>
      <c r="E117">
        <v>15.4</v>
      </c>
      <c r="F117">
        <v>20</v>
      </c>
      <c r="G117">
        <v>4.33</v>
      </c>
      <c r="H117">
        <v>322.10000000000002</v>
      </c>
    </row>
    <row r="118" spans="1:8" x14ac:dyDescent="0.2">
      <c r="A118">
        <v>17</v>
      </c>
      <c r="B118">
        <v>5.31</v>
      </c>
      <c r="C118">
        <v>55.1</v>
      </c>
      <c r="D118">
        <v>24.49</v>
      </c>
      <c r="E118">
        <v>22.5</v>
      </c>
      <c r="F118">
        <v>29</v>
      </c>
      <c r="G118">
        <v>5.25</v>
      </c>
      <c r="H118">
        <v>378.2</v>
      </c>
    </row>
    <row r="119" spans="1:8" x14ac:dyDescent="0.2">
      <c r="A119">
        <v>18</v>
      </c>
      <c r="B119">
        <v>5.69</v>
      </c>
      <c r="C119">
        <v>58.82</v>
      </c>
      <c r="D119">
        <v>8.82</v>
      </c>
      <c r="E119">
        <v>15.8</v>
      </c>
      <c r="F119">
        <v>36</v>
      </c>
      <c r="G119">
        <v>4.62</v>
      </c>
      <c r="H119">
        <v>315.60000000000002</v>
      </c>
    </row>
    <row r="120" spans="1:8" x14ac:dyDescent="0.2">
      <c r="A120">
        <v>19</v>
      </c>
      <c r="B120">
        <v>7.39</v>
      </c>
      <c r="C120">
        <v>58.62</v>
      </c>
      <c r="D120">
        <v>32.76</v>
      </c>
      <c r="E120">
        <v>29.2</v>
      </c>
      <c r="F120">
        <v>21</v>
      </c>
      <c r="G120">
        <v>5.9</v>
      </c>
      <c r="H120">
        <v>403.4</v>
      </c>
    </row>
    <row r="121" spans="1:8" x14ac:dyDescent="0.2">
      <c r="A121">
        <v>20</v>
      </c>
      <c r="B121">
        <v>6.15</v>
      </c>
      <c r="C121">
        <v>63.41</v>
      </c>
      <c r="D121">
        <v>19.510000000000002</v>
      </c>
      <c r="E121">
        <v>20.6</v>
      </c>
      <c r="F121">
        <v>31</v>
      </c>
      <c r="G121">
        <v>5.15</v>
      </c>
      <c r="H121">
        <v>354</v>
      </c>
    </row>
    <row r="122" spans="1:8" x14ac:dyDescent="0.2">
      <c r="A122">
        <v>21</v>
      </c>
      <c r="B122">
        <v>7.08</v>
      </c>
      <c r="C122">
        <v>55.26</v>
      </c>
      <c r="D122">
        <v>23.68</v>
      </c>
      <c r="E122">
        <v>21.3</v>
      </c>
      <c r="F122">
        <v>32</v>
      </c>
      <c r="G122">
        <v>5.09</v>
      </c>
      <c r="H122">
        <v>344.7</v>
      </c>
    </row>
    <row r="123" spans="1:8" x14ac:dyDescent="0.2">
      <c r="A123">
        <v>22</v>
      </c>
      <c r="B123">
        <v>7.29</v>
      </c>
      <c r="C123">
        <v>44.23</v>
      </c>
      <c r="D123">
        <v>23.08</v>
      </c>
      <c r="E123">
        <v>19.899999999999999</v>
      </c>
      <c r="F123">
        <v>27</v>
      </c>
      <c r="G123">
        <v>4.72</v>
      </c>
      <c r="H123">
        <v>369.4</v>
      </c>
    </row>
    <row r="124" spans="1:8" x14ac:dyDescent="0.2">
      <c r="A124">
        <v>23</v>
      </c>
      <c r="B124">
        <v>7.46</v>
      </c>
      <c r="C124">
        <v>43.59</v>
      </c>
      <c r="D124">
        <v>41.03</v>
      </c>
      <c r="E124">
        <v>18.7</v>
      </c>
      <c r="F124">
        <v>18</v>
      </c>
      <c r="G124">
        <v>4.75</v>
      </c>
      <c r="H124">
        <v>333.9</v>
      </c>
    </row>
    <row r="125" spans="1:8" x14ac:dyDescent="0.2">
      <c r="A125">
        <v>24</v>
      </c>
      <c r="B125">
        <v>6.08</v>
      </c>
      <c r="C125">
        <v>45.24</v>
      </c>
      <c r="D125">
        <v>35.71</v>
      </c>
      <c r="E125">
        <v>19.8</v>
      </c>
      <c r="F125">
        <v>18</v>
      </c>
      <c r="G125">
        <v>4.93</v>
      </c>
      <c r="H125">
        <v>320</v>
      </c>
    </row>
    <row r="126" spans="1:8" x14ac:dyDescent="0.2">
      <c r="A126">
        <v>25</v>
      </c>
      <c r="B126">
        <v>5.57</v>
      </c>
      <c r="C126">
        <v>54.55</v>
      </c>
      <c r="D126">
        <v>25</v>
      </c>
      <c r="E126">
        <v>27.6</v>
      </c>
      <c r="F126">
        <v>23</v>
      </c>
      <c r="G126">
        <v>5.24</v>
      </c>
      <c r="H126">
        <v>360.6</v>
      </c>
    </row>
    <row r="127" spans="1:8" x14ac:dyDescent="0.2">
      <c r="A127">
        <v>1</v>
      </c>
      <c r="B127">
        <v>7.39</v>
      </c>
      <c r="C127">
        <v>35.29</v>
      </c>
      <c r="D127">
        <v>23.53</v>
      </c>
      <c r="E127">
        <v>8.1999999999999993</v>
      </c>
      <c r="F127">
        <v>20</v>
      </c>
      <c r="G127">
        <v>3.32</v>
      </c>
      <c r="H127">
        <v>183.6</v>
      </c>
    </row>
    <row r="128" spans="1:8" x14ac:dyDescent="0.2">
      <c r="A128">
        <v>2</v>
      </c>
      <c r="B128">
        <v>7.57</v>
      </c>
      <c r="C128">
        <v>46.15</v>
      </c>
      <c r="D128">
        <v>42.31</v>
      </c>
      <c r="E128">
        <v>11.3</v>
      </c>
      <c r="F128">
        <v>30</v>
      </c>
      <c r="G128">
        <v>4.08</v>
      </c>
      <c r="H128">
        <v>261.5</v>
      </c>
    </row>
    <row r="129" spans="1:8" x14ac:dyDescent="0.2">
      <c r="A129">
        <v>3</v>
      </c>
      <c r="B129">
        <v>7.08</v>
      </c>
      <c r="C129">
        <v>50</v>
      </c>
      <c r="D129">
        <v>22.92</v>
      </c>
      <c r="E129">
        <v>26.8</v>
      </c>
      <c r="F129">
        <v>44</v>
      </c>
      <c r="G129">
        <v>5.45</v>
      </c>
      <c r="H129">
        <v>456.8</v>
      </c>
    </row>
    <row r="130" spans="1:8" x14ac:dyDescent="0.2">
      <c r="A130">
        <v>4</v>
      </c>
      <c r="B130">
        <v>6.71</v>
      </c>
      <c r="C130">
        <v>59.62</v>
      </c>
      <c r="D130">
        <v>21.15</v>
      </c>
      <c r="E130">
        <v>24.6</v>
      </c>
      <c r="F130">
        <v>29</v>
      </c>
      <c r="G130">
        <v>5.07</v>
      </c>
      <c r="H130">
        <v>390.1</v>
      </c>
    </row>
    <row r="131" spans="1:8" x14ac:dyDescent="0.2">
      <c r="A131">
        <v>5</v>
      </c>
      <c r="B131">
        <v>5.92</v>
      </c>
      <c r="C131">
        <v>60</v>
      </c>
      <c r="D131">
        <v>14.29</v>
      </c>
      <c r="E131">
        <v>22.2</v>
      </c>
      <c r="F131">
        <v>21</v>
      </c>
      <c r="G131">
        <v>5.17</v>
      </c>
      <c r="H131">
        <v>362.8</v>
      </c>
    </row>
    <row r="132" spans="1:8" x14ac:dyDescent="0.2">
      <c r="A132">
        <v>6</v>
      </c>
      <c r="B132">
        <v>5.25</v>
      </c>
      <c r="C132">
        <v>60.87</v>
      </c>
      <c r="D132">
        <v>15.22</v>
      </c>
      <c r="E132">
        <v>23.6</v>
      </c>
      <c r="F132">
        <v>17</v>
      </c>
      <c r="G132">
        <v>5.44</v>
      </c>
      <c r="H132">
        <v>374.8</v>
      </c>
    </row>
    <row r="133" spans="1:8" x14ac:dyDescent="0.2">
      <c r="A133">
        <v>7</v>
      </c>
      <c r="B133">
        <v>6.85</v>
      </c>
      <c r="C133">
        <v>60</v>
      </c>
      <c r="D133">
        <v>17.5</v>
      </c>
      <c r="E133">
        <v>21.9</v>
      </c>
      <c r="F133">
        <v>22</v>
      </c>
      <c r="G133">
        <v>5.45</v>
      </c>
      <c r="H133">
        <v>341.6</v>
      </c>
    </row>
    <row r="134" spans="1:8" x14ac:dyDescent="0.2">
      <c r="A134">
        <v>8</v>
      </c>
      <c r="B134">
        <v>6.23</v>
      </c>
      <c r="C134">
        <v>56</v>
      </c>
      <c r="D134">
        <v>20</v>
      </c>
      <c r="E134">
        <v>18.7</v>
      </c>
      <c r="F134">
        <v>26</v>
      </c>
      <c r="G134">
        <v>5.17</v>
      </c>
      <c r="H134">
        <v>320.8</v>
      </c>
    </row>
    <row r="135" spans="1:8" x14ac:dyDescent="0.2">
      <c r="A135">
        <v>9</v>
      </c>
      <c r="B135">
        <v>6.77</v>
      </c>
      <c r="C135">
        <v>47.62</v>
      </c>
      <c r="D135">
        <v>33.33</v>
      </c>
      <c r="E135">
        <v>18.399999999999999</v>
      </c>
      <c r="F135">
        <v>32</v>
      </c>
      <c r="G135">
        <v>4.17</v>
      </c>
      <c r="H135">
        <v>267.7</v>
      </c>
    </row>
    <row r="136" spans="1:8" x14ac:dyDescent="0.2">
      <c r="A136">
        <v>10</v>
      </c>
      <c r="B136">
        <v>6.07</v>
      </c>
      <c r="C136">
        <v>59.38</v>
      </c>
      <c r="D136">
        <v>25</v>
      </c>
      <c r="E136">
        <v>19</v>
      </c>
      <c r="F136">
        <v>26</v>
      </c>
      <c r="G136">
        <v>5.21</v>
      </c>
      <c r="H136">
        <v>316.3</v>
      </c>
    </row>
    <row r="137" spans="1:8" x14ac:dyDescent="0.2">
      <c r="A137">
        <v>11</v>
      </c>
      <c r="B137">
        <v>7.57</v>
      </c>
      <c r="C137">
        <v>57.89</v>
      </c>
      <c r="D137">
        <v>18.420000000000002</v>
      </c>
      <c r="E137">
        <v>18.399999999999999</v>
      </c>
      <c r="F137">
        <v>25</v>
      </c>
      <c r="G137">
        <v>4.3</v>
      </c>
      <c r="H137">
        <v>277.39999999999998</v>
      </c>
    </row>
    <row r="138" spans="1:8" x14ac:dyDescent="0.2">
      <c r="A138">
        <v>12</v>
      </c>
      <c r="B138">
        <v>5.54</v>
      </c>
      <c r="C138">
        <v>51.22</v>
      </c>
      <c r="D138">
        <v>17.07</v>
      </c>
      <c r="E138">
        <v>17.399999999999999</v>
      </c>
      <c r="F138">
        <v>29</v>
      </c>
      <c r="G138">
        <v>5.22</v>
      </c>
      <c r="H138">
        <v>322.2</v>
      </c>
    </row>
    <row r="139" spans="1:8" x14ac:dyDescent="0.2">
      <c r="A139">
        <v>13</v>
      </c>
      <c r="B139">
        <v>4.7699999999999996</v>
      </c>
      <c r="C139">
        <v>70.150000000000006</v>
      </c>
      <c r="D139">
        <v>13.43</v>
      </c>
      <c r="E139">
        <v>37.200000000000003</v>
      </c>
      <c r="F139">
        <v>29</v>
      </c>
      <c r="G139">
        <v>6.4</v>
      </c>
      <c r="H139">
        <v>488.5</v>
      </c>
    </row>
    <row r="140" spans="1:8" x14ac:dyDescent="0.2">
      <c r="A140">
        <v>14</v>
      </c>
      <c r="B140">
        <v>5.69</v>
      </c>
      <c r="C140">
        <v>48.39</v>
      </c>
      <c r="D140">
        <v>35.479999999999997</v>
      </c>
      <c r="E140">
        <v>21.5</v>
      </c>
      <c r="F140">
        <v>23</v>
      </c>
      <c r="G140">
        <v>5.21</v>
      </c>
      <c r="H140">
        <v>347.4</v>
      </c>
    </row>
    <row r="141" spans="1:8" x14ac:dyDescent="0.2">
      <c r="A141">
        <v>15</v>
      </c>
      <c r="B141">
        <v>4.92</v>
      </c>
      <c r="C141">
        <v>62.22</v>
      </c>
      <c r="D141">
        <v>22.22</v>
      </c>
      <c r="E141">
        <v>27.9</v>
      </c>
      <c r="F141">
        <v>27</v>
      </c>
      <c r="G141">
        <v>5.66</v>
      </c>
      <c r="H141">
        <v>394.6</v>
      </c>
    </row>
    <row r="142" spans="1:8" x14ac:dyDescent="0.2">
      <c r="A142">
        <v>16</v>
      </c>
      <c r="B142">
        <v>7.54</v>
      </c>
      <c r="C142">
        <v>52.63</v>
      </c>
      <c r="D142">
        <v>21.05</v>
      </c>
      <c r="E142">
        <v>22.1</v>
      </c>
      <c r="F142">
        <v>27</v>
      </c>
      <c r="G142">
        <v>5.15</v>
      </c>
      <c r="H142">
        <v>376.2</v>
      </c>
    </row>
    <row r="143" spans="1:8" x14ac:dyDescent="0.2">
      <c r="A143">
        <v>17</v>
      </c>
      <c r="B143">
        <v>6.23</v>
      </c>
      <c r="C143">
        <v>58.33</v>
      </c>
      <c r="D143">
        <v>25</v>
      </c>
      <c r="E143">
        <v>26.8</v>
      </c>
      <c r="F143">
        <v>23</v>
      </c>
      <c r="G143">
        <v>4.92</v>
      </c>
      <c r="H143">
        <v>348.1</v>
      </c>
    </row>
    <row r="144" spans="1:8" x14ac:dyDescent="0.2">
      <c r="A144">
        <v>18</v>
      </c>
      <c r="B144">
        <v>7.71</v>
      </c>
      <c r="C144">
        <v>59.18</v>
      </c>
      <c r="D144">
        <v>8.16</v>
      </c>
      <c r="E144">
        <v>22.4</v>
      </c>
      <c r="F144">
        <v>31</v>
      </c>
      <c r="G144">
        <v>5.09</v>
      </c>
      <c r="H144">
        <v>380.3</v>
      </c>
    </row>
    <row r="145" spans="1:8" x14ac:dyDescent="0.2">
      <c r="A145">
        <v>19</v>
      </c>
      <c r="B145">
        <v>7.14</v>
      </c>
      <c r="C145">
        <v>65.63</v>
      </c>
      <c r="D145">
        <v>25</v>
      </c>
      <c r="E145">
        <v>20.6</v>
      </c>
      <c r="F145">
        <v>32</v>
      </c>
      <c r="G145">
        <v>4.46</v>
      </c>
      <c r="H145">
        <v>277.2</v>
      </c>
    </row>
    <row r="146" spans="1:8" x14ac:dyDescent="0.2">
      <c r="A146">
        <v>20</v>
      </c>
      <c r="B146">
        <v>8.08</v>
      </c>
      <c r="C146">
        <v>43.48</v>
      </c>
      <c r="D146">
        <v>30.43</v>
      </c>
      <c r="E146">
        <v>22.7</v>
      </c>
      <c r="F146">
        <v>26</v>
      </c>
      <c r="G146">
        <v>4.82</v>
      </c>
      <c r="H146">
        <v>351.8</v>
      </c>
    </row>
    <row r="147" spans="1:8" x14ac:dyDescent="0.2">
      <c r="A147">
        <v>21</v>
      </c>
      <c r="B147">
        <v>6.57</v>
      </c>
      <c r="C147">
        <v>52.5</v>
      </c>
      <c r="D147">
        <v>17.5</v>
      </c>
      <c r="E147">
        <v>17.600000000000001</v>
      </c>
      <c r="F147">
        <v>23</v>
      </c>
      <c r="G147">
        <v>4.93</v>
      </c>
      <c r="H147">
        <v>304.60000000000002</v>
      </c>
    </row>
    <row r="148" spans="1:8" x14ac:dyDescent="0.2">
      <c r="A148">
        <v>22</v>
      </c>
      <c r="B148">
        <v>5.07</v>
      </c>
      <c r="C148">
        <v>55.77</v>
      </c>
      <c r="D148">
        <v>28.85</v>
      </c>
      <c r="E148">
        <v>29.3</v>
      </c>
      <c r="F148">
        <v>23</v>
      </c>
      <c r="G148">
        <v>5.6</v>
      </c>
      <c r="H148">
        <v>394.4</v>
      </c>
    </row>
    <row r="149" spans="1:8" x14ac:dyDescent="0.2">
      <c r="A149">
        <v>23</v>
      </c>
      <c r="B149">
        <v>7.58</v>
      </c>
      <c r="C149">
        <v>54.29</v>
      </c>
      <c r="D149">
        <v>22.86</v>
      </c>
      <c r="E149">
        <v>15.1</v>
      </c>
      <c r="F149">
        <v>23</v>
      </c>
      <c r="G149">
        <v>4.16</v>
      </c>
      <c r="H149">
        <v>275</v>
      </c>
    </row>
    <row r="150" spans="1:8" x14ac:dyDescent="0.2">
      <c r="A150">
        <v>24</v>
      </c>
      <c r="B150">
        <v>4.3099999999999996</v>
      </c>
      <c r="C150">
        <v>69.23</v>
      </c>
      <c r="D150">
        <v>12.82</v>
      </c>
      <c r="E150">
        <v>23.4</v>
      </c>
      <c r="F150">
        <v>18</v>
      </c>
      <c r="G150">
        <v>5.2</v>
      </c>
      <c r="H150">
        <v>350.7</v>
      </c>
    </row>
    <row r="151" spans="1:8" x14ac:dyDescent="0.2">
      <c r="A151">
        <v>25</v>
      </c>
      <c r="B151">
        <v>8.6199999999999992</v>
      </c>
      <c r="C151">
        <v>55.56</v>
      </c>
      <c r="D151">
        <v>30.56</v>
      </c>
      <c r="E151">
        <v>20.3</v>
      </c>
      <c r="F151">
        <v>33</v>
      </c>
      <c r="G151">
        <v>4.93</v>
      </c>
      <c r="H151">
        <v>356.4</v>
      </c>
    </row>
    <row r="152" spans="1:8" x14ac:dyDescent="0.2">
      <c r="A152">
        <v>1</v>
      </c>
      <c r="B152">
        <v>7.07</v>
      </c>
      <c r="C152">
        <v>60</v>
      </c>
      <c r="D152">
        <v>24.44</v>
      </c>
      <c r="E152">
        <v>24.1</v>
      </c>
      <c r="F152">
        <v>22</v>
      </c>
      <c r="G152">
        <v>5.36</v>
      </c>
      <c r="H152">
        <v>368.4</v>
      </c>
    </row>
    <row r="153" spans="1:8" x14ac:dyDescent="0.2">
      <c r="A153">
        <v>2</v>
      </c>
      <c r="B153">
        <v>5.77</v>
      </c>
      <c r="C153">
        <v>63.16</v>
      </c>
      <c r="D153">
        <v>21.05</v>
      </c>
      <c r="E153">
        <v>12</v>
      </c>
      <c r="F153">
        <v>22</v>
      </c>
      <c r="G153">
        <v>4.16</v>
      </c>
      <c r="H153">
        <v>228.5</v>
      </c>
    </row>
    <row r="154" spans="1:8" x14ac:dyDescent="0.2">
      <c r="A154">
        <v>3</v>
      </c>
      <c r="B154">
        <v>7.39</v>
      </c>
      <c r="C154">
        <v>42.5</v>
      </c>
      <c r="D154">
        <v>25</v>
      </c>
      <c r="E154">
        <v>18.7</v>
      </c>
      <c r="F154">
        <v>37</v>
      </c>
      <c r="G154">
        <v>4.67</v>
      </c>
      <c r="H154">
        <v>346</v>
      </c>
    </row>
    <row r="155" spans="1:8" x14ac:dyDescent="0.2">
      <c r="A155">
        <v>4</v>
      </c>
      <c r="B155">
        <v>5.46</v>
      </c>
      <c r="C155">
        <v>65.52</v>
      </c>
      <c r="D155">
        <v>13.79</v>
      </c>
      <c r="E155">
        <v>17.399999999999999</v>
      </c>
      <c r="F155">
        <v>30</v>
      </c>
      <c r="G155">
        <v>5.0599999999999996</v>
      </c>
      <c r="H155">
        <v>322.8</v>
      </c>
    </row>
    <row r="156" spans="1:8" x14ac:dyDescent="0.2">
      <c r="A156">
        <v>5</v>
      </c>
      <c r="B156">
        <v>5.62</v>
      </c>
      <c r="C156">
        <v>50</v>
      </c>
      <c r="D156">
        <v>20</v>
      </c>
      <c r="E156">
        <v>14.3</v>
      </c>
      <c r="F156">
        <v>30</v>
      </c>
      <c r="G156">
        <v>4.32</v>
      </c>
      <c r="H156">
        <v>261.89999999999998</v>
      </c>
    </row>
    <row r="157" spans="1:8" x14ac:dyDescent="0.2">
      <c r="A157">
        <v>6</v>
      </c>
      <c r="B157">
        <v>7.57</v>
      </c>
      <c r="C157">
        <v>47.22</v>
      </c>
      <c r="D157">
        <v>36.11</v>
      </c>
      <c r="E157">
        <v>21.8</v>
      </c>
      <c r="F157">
        <v>32</v>
      </c>
      <c r="G157">
        <v>5.07</v>
      </c>
      <c r="H157">
        <v>361.9</v>
      </c>
    </row>
    <row r="158" spans="1:8" x14ac:dyDescent="0.2">
      <c r="A158">
        <v>7</v>
      </c>
      <c r="B158">
        <v>5.08</v>
      </c>
      <c r="C158">
        <v>61.76</v>
      </c>
      <c r="D158">
        <v>26.47</v>
      </c>
      <c r="E158">
        <v>20.5</v>
      </c>
      <c r="F158">
        <v>23</v>
      </c>
      <c r="G158">
        <v>5.29</v>
      </c>
      <c r="H158">
        <v>321.8</v>
      </c>
    </row>
    <row r="159" spans="1:8" x14ac:dyDescent="0.2">
      <c r="A159">
        <v>8</v>
      </c>
      <c r="B159">
        <v>6.77</v>
      </c>
      <c r="C159">
        <v>65.63</v>
      </c>
      <c r="D159">
        <v>15.63</v>
      </c>
      <c r="E159">
        <v>18.2</v>
      </c>
      <c r="F159">
        <v>32</v>
      </c>
      <c r="G159">
        <v>4.8600000000000003</v>
      </c>
      <c r="H159">
        <v>307.2</v>
      </c>
    </row>
    <row r="160" spans="1:8" x14ac:dyDescent="0.2">
      <c r="A160">
        <v>9</v>
      </c>
      <c r="B160">
        <v>8.39</v>
      </c>
      <c r="C160">
        <v>41.38</v>
      </c>
      <c r="D160">
        <v>10.34</v>
      </c>
      <c r="E160">
        <v>12.8</v>
      </c>
      <c r="F160">
        <v>27</v>
      </c>
      <c r="G160">
        <v>3.98</v>
      </c>
      <c r="H160">
        <v>254.7</v>
      </c>
    </row>
    <row r="161" spans="1:8" x14ac:dyDescent="0.2">
      <c r="A161">
        <v>10</v>
      </c>
      <c r="B161">
        <v>5.77</v>
      </c>
      <c r="C161">
        <v>32.26</v>
      </c>
      <c r="D161">
        <v>32.26</v>
      </c>
      <c r="E161">
        <v>13.5</v>
      </c>
      <c r="F161">
        <v>26</v>
      </c>
      <c r="G161">
        <v>4.6399999999999997</v>
      </c>
      <c r="H161">
        <v>286.39999999999998</v>
      </c>
    </row>
    <row r="162" spans="1:8" x14ac:dyDescent="0.2">
      <c r="A162">
        <v>11</v>
      </c>
      <c r="B162">
        <v>6.21</v>
      </c>
      <c r="C162">
        <v>46</v>
      </c>
      <c r="D162">
        <v>32</v>
      </c>
      <c r="E162">
        <v>21.4</v>
      </c>
      <c r="F162">
        <v>24</v>
      </c>
      <c r="G162">
        <v>5.56</v>
      </c>
      <c r="H162">
        <v>363.6</v>
      </c>
    </row>
    <row r="163" spans="1:8" x14ac:dyDescent="0.2">
      <c r="A163">
        <v>12</v>
      </c>
      <c r="B163">
        <v>7.31</v>
      </c>
      <c r="C163">
        <v>56.41</v>
      </c>
      <c r="D163">
        <v>28.21</v>
      </c>
      <c r="E163">
        <v>23.4</v>
      </c>
      <c r="F163">
        <v>25</v>
      </c>
      <c r="G163">
        <v>5.25</v>
      </c>
      <c r="H163">
        <v>347.9</v>
      </c>
    </row>
    <row r="164" spans="1:8" x14ac:dyDescent="0.2">
      <c r="A164">
        <v>13</v>
      </c>
      <c r="B164">
        <v>5.23</v>
      </c>
      <c r="C164">
        <v>59.57</v>
      </c>
      <c r="D164">
        <v>19.149999999999999</v>
      </c>
      <c r="E164">
        <v>26.4</v>
      </c>
      <c r="F164">
        <v>34</v>
      </c>
      <c r="G164">
        <v>4.9800000000000004</v>
      </c>
      <c r="H164">
        <v>409.5</v>
      </c>
    </row>
    <row r="165" spans="1:8" x14ac:dyDescent="0.2">
      <c r="A165">
        <v>14</v>
      </c>
      <c r="B165">
        <v>5.08</v>
      </c>
      <c r="C165">
        <v>55.56</v>
      </c>
      <c r="D165">
        <v>20</v>
      </c>
      <c r="E165">
        <v>22.3</v>
      </c>
      <c r="F165">
        <v>24</v>
      </c>
      <c r="G165">
        <v>5.27</v>
      </c>
      <c r="H165">
        <v>353.8</v>
      </c>
    </row>
    <row r="166" spans="1:8" x14ac:dyDescent="0.2">
      <c r="A166">
        <v>15</v>
      </c>
      <c r="B166">
        <v>7</v>
      </c>
      <c r="C166">
        <v>42.5</v>
      </c>
      <c r="D166">
        <v>30</v>
      </c>
      <c r="E166">
        <v>19.8</v>
      </c>
      <c r="F166">
        <v>28</v>
      </c>
      <c r="G166">
        <v>5.27</v>
      </c>
      <c r="H166">
        <v>356.8</v>
      </c>
    </row>
    <row r="167" spans="1:8" x14ac:dyDescent="0.2">
      <c r="A167">
        <v>16</v>
      </c>
      <c r="B167">
        <v>6.43</v>
      </c>
      <c r="C167">
        <v>58.54</v>
      </c>
      <c r="D167">
        <v>17.07</v>
      </c>
      <c r="E167">
        <v>20.6</v>
      </c>
      <c r="F167">
        <v>32</v>
      </c>
      <c r="G167">
        <v>5.66</v>
      </c>
      <c r="H167">
        <v>361.5</v>
      </c>
    </row>
    <row r="168" spans="1:8" x14ac:dyDescent="0.2">
      <c r="A168">
        <v>17</v>
      </c>
      <c r="B168">
        <v>6.79</v>
      </c>
      <c r="C168">
        <v>43.75</v>
      </c>
      <c r="D168">
        <v>31.25</v>
      </c>
      <c r="E168">
        <v>19.600000000000001</v>
      </c>
      <c r="F168">
        <v>27</v>
      </c>
      <c r="G168">
        <v>4.93</v>
      </c>
      <c r="H168">
        <v>353.7</v>
      </c>
    </row>
    <row r="169" spans="1:8" x14ac:dyDescent="0.2">
      <c r="A169">
        <v>18</v>
      </c>
      <c r="B169">
        <v>6.39</v>
      </c>
      <c r="C169">
        <v>40</v>
      </c>
      <c r="D169">
        <v>17.14</v>
      </c>
      <c r="E169">
        <v>16.100000000000001</v>
      </c>
      <c r="F169">
        <v>29</v>
      </c>
      <c r="G169">
        <v>5.01</v>
      </c>
      <c r="H169">
        <v>356.4</v>
      </c>
    </row>
    <row r="170" spans="1:8" x14ac:dyDescent="0.2">
      <c r="A170">
        <v>19</v>
      </c>
      <c r="B170">
        <v>6.54</v>
      </c>
      <c r="C170">
        <v>47.92</v>
      </c>
      <c r="D170">
        <v>16.670000000000002</v>
      </c>
      <c r="E170">
        <v>21.9</v>
      </c>
      <c r="F170">
        <v>25</v>
      </c>
      <c r="G170">
        <v>4.78</v>
      </c>
      <c r="H170">
        <v>364.3</v>
      </c>
    </row>
    <row r="171" spans="1:8" x14ac:dyDescent="0.2">
      <c r="A171">
        <v>20</v>
      </c>
      <c r="B171">
        <v>4.29</v>
      </c>
      <c r="C171">
        <v>44.74</v>
      </c>
      <c r="D171">
        <v>39.47</v>
      </c>
      <c r="E171">
        <v>17.399999999999999</v>
      </c>
      <c r="F171">
        <v>23</v>
      </c>
      <c r="G171">
        <v>4.57</v>
      </c>
      <c r="H171">
        <v>306.8</v>
      </c>
    </row>
    <row r="172" spans="1:8" x14ac:dyDescent="0.2">
      <c r="A172">
        <v>21</v>
      </c>
      <c r="B172">
        <v>6.29</v>
      </c>
      <c r="C172">
        <v>64.290000000000006</v>
      </c>
      <c r="D172">
        <v>25</v>
      </c>
      <c r="E172">
        <v>17.100000000000001</v>
      </c>
      <c r="F172">
        <v>23</v>
      </c>
      <c r="G172">
        <v>4.7699999999999996</v>
      </c>
      <c r="H172">
        <v>315.39999999999998</v>
      </c>
    </row>
    <row r="173" spans="1:8" x14ac:dyDescent="0.2">
      <c r="A173">
        <v>22</v>
      </c>
      <c r="B173">
        <v>6.93</v>
      </c>
      <c r="C173">
        <v>46</v>
      </c>
      <c r="D173">
        <v>24</v>
      </c>
      <c r="E173">
        <v>23.1</v>
      </c>
      <c r="F173">
        <v>26</v>
      </c>
      <c r="G173">
        <v>5.35</v>
      </c>
      <c r="H173">
        <v>354.4</v>
      </c>
    </row>
    <row r="174" spans="1:8" x14ac:dyDescent="0.2">
      <c r="A174">
        <v>23</v>
      </c>
      <c r="B174">
        <v>6.39</v>
      </c>
      <c r="C174">
        <v>49.09</v>
      </c>
      <c r="D174">
        <v>25.45</v>
      </c>
      <c r="E174">
        <v>22.2</v>
      </c>
      <c r="F174">
        <v>29</v>
      </c>
      <c r="G174">
        <v>4.68</v>
      </c>
      <c r="H174">
        <v>352.3</v>
      </c>
    </row>
    <row r="175" spans="1:8" x14ac:dyDescent="0.2">
      <c r="A175">
        <v>24</v>
      </c>
      <c r="B175">
        <v>5.92</v>
      </c>
      <c r="C175">
        <v>62.79</v>
      </c>
      <c r="D175">
        <v>13.95</v>
      </c>
      <c r="E175">
        <v>30.3</v>
      </c>
      <c r="F175">
        <v>36</v>
      </c>
      <c r="G175">
        <v>6.22</v>
      </c>
      <c r="H175">
        <v>450.8</v>
      </c>
    </row>
    <row r="176" spans="1:8" x14ac:dyDescent="0.2">
      <c r="A176">
        <v>25</v>
      </c>
      <c r="B176">
        <v>7.62</v>
      </c>
      <c r="C176">
        <v>60.98</v>
      </c>
      <c r="D176">
        <v>19.510000000000002</v>
      </c>
      <c r="E176">
        <v>21.3</v>
      </c>
      <c r="F176">
        <v>29</v>
      </c>
      <c r="G176">
        <v>5.26</v>
      </c>
      <c r="H176">
        <v>339.4</v>
      </c>
    </row>
    <row r="177" spans="1:8" x14ac:dyDescent="0.2">
      <c r="A177">
        <v>1</v>
      </c>
      <c r="B177">
        <v>6.86</v>
      </c>
      <c r="C177">
        <v>33.33</v>
      </c>
      <c r="D177">
        <v>33.33</v>
      </c>
      <c r="E177">
        <v>11.7</v>
      </c>
      <c r="F177">
        <v>31</v>
      </c>
      <c r="G177">
        <v>4.08</v>
      </c>
      <c r="H177">
        <v>245.4</v>
      </c>
    </row>
    <row r="178" spans="1:8" x14ac:dyDescent="0.2">
      <c r="A178">
        <v>2</v>
      </c>
      <c r="B178">
        <v>8</v>
      </c>
      <c r="C178">
        <v>52.94</v>
      </c>
      <c r="D178">
        <v>29.41</v>
      </c>
      <c r="E178">
        <v>16.7</v>
      </c>
      <c r="F178">
        <v>37</v>
      </c>
      <c r="G178">
        <v>3.84</v>
      </c>
      <c r="H178">
        <v>251.9</v>
      </c>
    </row>
    <row r="179" spans="1:8" x14ac:dyDescent="0.2">
      <c r="A179">
        <v>3</v>
      </c>
      <c r="B179">
        <v>5.43</v>
      </c>
      <c r="C179">
        <v>42.42</v>
      </c>
      <c r="D179">
        <v>33.33</v>
      </c>
      <c r="E179">
        <v>12.4</v>
      </c>
      <c r="F179">
        <v>23</v>
      </c>
      <c r="G179">
        <v>4.1900000000000004</v>
      </c>
      <c r="H179">
        <v>252.4</v>
      </c>
    </row>
    <row r="180" spans="1:8" x14ac:dyDescent="0.2">
      <c r="A180">
        <v>4</v>
      </c>
      <c r="B180">
        <v>7.14</v>
      </c>
      <c r="C180">
        <v>58.62</v>
      </c>
      <c r="D180">
        <v>20.69</v>
      </c>
      <c r="E180">
        <v>17.100000000000001</v>
      </c>
      <c r="F180">
        <v>35</v>
      </c>
      <c r="G180">
        <v>4.78</v>
      </c>
      <c r="H180">
        <v>300.2</v>
      </c>
    </row>
    <row r="181" spans="1:8" x14ac:dyDescent="0.2">
      <c r="A181">
        <v>5</v>
      </c>
      <c r="B181">
        <v>6.08</v>
      </c>
      <c r="C181">
        <v>55.56</v>
      </c>
      <c r="D181">
        <v>18.52</v>
      </c>
      <c r="E181">
        <v>12.5</v>
      </c>
      <c r="F181">
        <v>35</v>
      </c>
      <c r="G181">
        <v>4.13</v>
      </c>
      <c r="H181">
        <v>262.3</v>
      </c>
    </row>
    <row r="182" spans="1:8" x14ac:dyDescent="0.2">
      <c r="A182">
        <v>6</v>
      </c>
      <c r="B182">
        <v>6</v>
      </c>
      <c r="C182">
        <v>50</v>
      </c>
      <c r="D182">
        <v>25</v>
      </c>
      <c r="E182">
        <v>12.8</v>
      </c>
      <c r="F182">
        <v>25</v>
      </c>
      <c r="G182">
        <v>3.89</v>
      </c>
      <c r="H182">
        <v>239.7</v>
      </c>
    </row>
    <row r="183" spans="1:8" x14ac:dyDescent="0.2">
      <c r="A183">
        <v>7</v>
      </c>
      <c r="B183">
        <v>5.62</v>
      </c>
      <c r="C183">
        <v>48.28</v>
      </c>
      <c r="D183">
        <v>34.479999999999997</v>
      </c>
      <c r="E183">
        <v>15.4</v>
      </c>
      <c r="F183">
        <v>30</v>
      </c>
      <c r="G183">
        <v>4.26</v>
      </c>
      <c r="H183">
        <v>276.5</v>
      </c>
    </row>
    <row r="184" spans="1:8" x14ac:dyDescent="0.2">
      <c r="A184">
        <v>8</v>
      </c>
      <c r="B184">
        <v>8.4600000000000009</v>
      </c>
      <c r="C184">
        <v>71.430000000000007</v>
      </c>
      <c r="D184">
        <v>16.670000000000002</v>
      </c>
      <c r="E184">
        <v>23.1</v>
      </c>
      <c r="F184">
        <v>19</v>
      </c>
      <c r="G184">
        <v>5.2</v>
      </c>
      <c r="H184">
        <v>374</v>
      </c>
    </row>
    <row r="185" spans="1:8" x14ac:dyDescent="0.2">
      <c r="A185">
        <v>9</v>
      </c>
      <c r="B185">
        <v>8.08</v>
      </c>
      <c r="C185">
        <v>37.93</v>
      </c>
      <c r="D185">
        <v>31.03</v>
      </c>
      <c r="E185">
        <v>12.2</v>
      </c>
      <c r="F185">
        <v>23</v>
      </c>
      <c r="G185">
        <v>4.4000000000000004</v>
      </c>
      <c r="H185">
        <v>274.5</v>
      </c>
    </row>
    <row r="186" spans="1:8" x14ac:dyDescent="0.2">
      <c r="A186">
        <v>10</v>
      </c>
      <c r="B186">
        <v>7.08</v>
      </c>
      <c r="C186">
        <v>34.880000000000003</v>
      </c>
      <c r="D186">
        <v>39.53</v>
      </c>
      <c r="E186">
        <v>15.6</v>
      </c>
      <c r="F186">
        <v>24</v>
      </c>
      <c r="G186">
        <v>4.5999999999999996</v>
      </c>
      <c r="H186">
        <v>295.5</v>
      </c>
    </row>
    <row r="187" spans="1:8" x14ac:dyDescent="0.2">
      <c r="A187">
        <v>11</v>
      </c>
      <c r="B187">
        <v>6.31</v>
      </c>
      <c r="C187">
        <v>59.18</v>
      </c>
      <c r="D187">
        <v>22.45</v>
      </c>
      <c r="E187">
        <v>23.8</v>
      </c>
      <c r="F187">
        <v>25</v>
      </c>
      <c r="G187">
        <v>4.59</v>
      </c>
      <c r="H187">
        <v>336.3</v>
      </c>
    </row>
    <row r="188" spans="1:8" x14ac:dyDescent="0.2">
      <c r="A188">
        <v>12</v>
      </c>
      <c r="B188">
        <v>4.8099999999999996</v>
      </c>
      <c r="C188">
        <v>57.45</v>
      </c>
      <c r="D188">
        <v>23.4</v>
      </c>
      <c r="E188">
        <v>21.5</v>
      </c>
      <c r="F188">
        <v>24</v>
      </c>
      <c r="G188">
        <v>4.92</v>
      </c>
      <c r="H188">
        <v>329.1</v>
      </c>
    </row>
    <row r="189" spans="1:8" x14ac:dyDescent="0.2">
      <c r="A189">
        <v>13</v>
      </c>
      <c r="B189">
        <v>4.93</v>
      </c>
      <c r="C189">
        <v>53.06</v>
      </c>
      <c r="D189">
        <v>28.57</v>
      </c>
      <c r="E189">
        <v>24.8</v>
      </c>
      <c r="F189">
        <v>26</v>
      </c>
      <c r="G189">
        <v>6.07</v>
      </c>
      <c r="H189">
        <v>360.3</v>
      </c>
    </row>
    <row r="190" spans="1:8" x14ac:dyDescent="0.2">
      <c r="A190">
        <v>14</v>
      </c>
      <c r="B190">
        <v>3.71</v>
      </c>
      <c r="C190">
        <v>43.75</v>
      </c>
      <c r="D190">
        <v>27.08</v>
      </c>
      <c r="E190">
        <v>19.399999999999999</v>
      </c>
      <c r="F190">
        <v>23</v>
      </c>
      <c r="G190">
        <v>5.48</v>
      </c>
      <c r="H190">
        <v>335.2</v>
      </c>
    </row>
    <row r="191" spans="1:8" x14ac:dyDescent="0.2">
      <c r="A191">
        <v>15</v>
      </c>
      <c r="B191">
        <v>7.46</v>
      </c>
      <c r="C191">
        <v>54.05</v>
      </c>
      <c r="D191">
        <v>18.920000000000002</v>
      </c>
      <c r="E191">
        <v>19.8</v>
      </c>
      <c r="F191">
        <v>24</v>
      </c>
      <c r="G191">
        <v>4.97</v>
      </c>
      <c r="H191">
        <v>319.3</v>
      </c>
    </row>
    <row r="192" spans="1:8" x14ac:dyDescent="0.2">
      <c r="A192">
        <v>16</v>
      </c>
      <c r="B192">
        <v>7.08</v>
      </c>
      <c r="C192">
        <v>58.33</v>
      </c>
      <c r="D192">
        <v>25</v>
      </c>
      <c r="E192">
        <v>21.8</v>
      </c>
      <c r="F192">
        <v>27</v>
      </c>
      <c r="G192">
        <v>5.08</v>
      </c>
      <c r="H192">
        <v>305.7</v>
      </c>
    </row>
    <row r="193" spans="1:8" x14ac:dyDescent="0.2">
      <c r="A193">
        <v>17</v>
      </c>
      <c r="B193">
        <v>6.23</v>
      </c>
      <c r="C193">
        <v>31.71</v>
      </c>
      <c r="D193">
        <v>48.78</v>
      </c>
      <c r="E193">
        <v>16.2</v>
      </c>
      <c r="F193">
        <v>18</v>
      </c>
      <c r="G193">
        <v>4.68</v>
      </c>
      <c r="H193">
        <v>327.60000000000002</v>
      </c>
    </row>
    <row r="194" spans="1:8" x14ac:dyDescent="0.2">
      <c r="A194">
        <v>18</v>
      </c>
      <c r="B194">
        <v>7.15</v>
      </c>
      <c r="C194">
        <v>50</v>
      </c>
      <c r="D194">
        <v>27.5</v>
      </c>
      <c r="E194">
        <v>20.2</v>
      </c>
      <c r="F194">
        <v>25</v>
      </c>
      <c r="G194">
        <v>4.66</v>
      </c>
      <c r="H194">
        <v>313.8</v>
      </c>
    </row>
    <row r="195" spans="1:8" x14ac:dyDescent="0.2">
      <c r="A195">
        <v>19</v>
      </c>
      <c r="B195">
        <v>7.08</v>
      </c>
      <c r="C195">
        <v>35.9</v>
      </c>
      <c r="D195">
        <v>46.15</v>
      </c>
      <c r="E195">
        <v>22.2</v>
      </c>
      <c r="F195">
        <v>21</v>
      </c>
      <c r="G195">
        <v>5.16</v>
      </c>
      <c r="H195">
        <v>329.6</v>
      </c>
    </row>
    <row r="196" spans="1:8" x14ac:dyDescent="0.2">
      <c r="A196">
        <v>20</v>
      </c>
      <c r="B196">
        <v>7.39</v>
      </c>
      <c r="C196">
        <v>34.090000000000003</v>
      </c>
      <c r="D196">
        <v>34.090000000000003</v>
      </c>
      <c r="E196">
        <v>17.7</v>
      </c>
      <c r="F196">
        <v>24</v>
      </c>
      <c r="G196">
        <v>4.72</v>
      </c>
      <c r="H196">
        <v>314.7</v>
      </c>
    </row>
    <row r="197" spans="1:8" x14ac:dyDescent="0.2">
      <c r="A197">
        <v>21</v>
      </c>
      <c r="B197">
        <v>6.46</v>
      </c>
      <c r="C197">
        <v>52.27</v>
      </c>
      <c r="D197">
        <v>20.45</v>
      </c>
      <c r="E197">
        <v>22.5</v>
      </c>
      <c r="F197">
        <v>24</v>
      </c>
      <c r="G197">
        <v>4.83</v>
      </c>
      <c r="H197">
        <v>352.4</v>
      </c>
    </row>
    <row r="198" spans="1:8" x14ac:dyDescent="0.2">
      <c r="A198">
        <v>22</v>
      </c>
      <c r="B198">
        <v>7</v>
      </c>
      <c r="C198">
        <v>53.19</v>
      </c>
      <c r="D198">
        <v>25.53</v>
      </c>
      <c r="E198">
        <v>19.8</v>
      </c>
      <c r="F198">
        <v>22</v>
      </c>
      <c r="G198">
        <v>4.82</v>
      </c>
      <c r="H198">
        <v>340.5</v>
      </c>
    </row>
    <row r="199" spans="1:8" x14ac:dyDescent="0.2">
      <c r="A199">
        <v>23</v>
      </c>
      <c r="B199">
        <v>4.71</v>
      </c>
      <c r="C199">
        <v>44.23</v>
      </c>
      <c r="D199">
        <v>28.85</v>
      </c>
      <c r="E199">
        <v>18.899999999999999</v>
      </c>
      <c r="F199">
        <v>20</v>
      </c>
      <c r="G199">
        <v>5.13</v>
      </c>
      <c r="H199">
        <v>344.2</v>
      </c>
    </row>
    <row r="200" spans="1:8" x14ac:dyDescent="0.2">
      <c r="A200">
        <v>24</v>
      </c>
      <c r="B200">
        <v>7.21</v>
      </c>
      <c r="C200">
        <v>57.14</v>
      </c>
      <c r="D200">
        <v>28.57</v>
      </c>
      <c r="E200">
        <v>20.399999999999999</v>
      </c>
      <c r="F200">
        <v>30</v>
      </c>
      <c r="G200">
        <v>4.55</v>
      </c>
      <c r="H200">
        <v>314.3</v>
      </c>
    </row>
    <row r="201" spans="1:8" x14ac:dyDescent="0.2">
      <c r="A201">
        <v>25</v>
      </c>
      <c r="B201">
        <v>6.23</v>
      </c>
      <c r="C201">
        <v>45.24</v>
      </c>
      <c r="D201">
        <v>38.1</v>
      </c>
      <c r="E201">
        <v>21.7</v>
      </c>
      <c r="F201">
        <v>23</v>
      </c>
      <c r="G201">
        <v>5.0599999999999996</v>
      </c>
      <c r="H201">
        <v>336.5</v>
      </c>
    </row>
    <row r="202" spans="1:8" x14ac:dyDescent="0.2">
      <c r="A202">
        <v>1</v>
      </c>
      <c r="B202">
        <v>5.07</v>
      </c>
      <c r="C202">
        <v>46.15</v>
      </c>
      <c r="D202">
        <v>23.08</v>
      </c>
      <c r="E202">
        <v>12.9</v>
      </c>
      <c r="F202">
        <v>35</v>
      </c>
      <c r="G202">
        <v>4.46</v>
      </c>
      <c r="H202">
        <v>285.3</v>
      </c>
    </row>
    <row r="203" spans="1:8" x14ac:dyDescent="0.2">
      <c r="A203">
        <v>2</v>
      </c>
      <c r="B203">
        <v>6.54</v>
      </c>
      <c r="C203">
        <v>59.38</v>
      </c>
      <c r="D203">
        <v>15.63</v>
      </c>
      <c r="E203">
        <v>17.2</v>
      </c>
      <c r="F203">
        <v>31</v>
      </c>
      <c r="G203">
        <v>4.5599999999999996</v>
      </c>
      <c r="H203">
        <v>289.2</v>
      </c>
    </row>
    <row r="204" spans="1:8" x14ac:dyDescent="0.2">
      <c r="A204">
        <v>3</v>
      </c>
      <c r="B204">
        <v>7.15</v>
      </c>
      <c r="C204">
        <v>51.85</v>
      </c>
      <c r="D204">
        <v>22.22</v>
      </c>
      <c r="E204">
        <v>9</v>
      </c>
      <c r="F204">
        <v>29</v>
      </c>
      <c r="G204">
        <v>3.61</v>
      </c>
      <c r="H204">
        <v>221.8</v>
      </c>
    </row>
    <row r="205" spans="1:8" x14ac:dyDescent="0.2">
      <c r="A205">
        <v>4</v>
      </c>
      <c r="B205">
        <v>6.92</v>
      </c>
      <c r="C205">
        <v>47.62</v>
      </c>
      <c r="D205">
        <v>26.19</v>
      </c>
      <c r="E205">
        <v>18.8</v>
      </c>
      <c r="F205">
        <v>16</v>
      </c>
      <c r="G205">
        <v>5.26</v>
      </c>
      <c r="H205">
        <v>342.9</v>
      </c>
    </row>
    <row r="206" spans="1:8" x14ac:dyDescent="0.2">
      <c r="A206">
        <v>5</v>
      </c>
      <c r="B206">
        <v>7.57</v>
      </c>
      <c r="C206">
        <v>65.31</v>
      </c>
      <c r="D206">
        <v>16.329999999999998</v>
      </c>
      <c r="E206">
        <v>24.5</v>
      </c>
      <c r="F206">
        <v>34</v>
      </c>
      <c r="G206">
        <v>5.17</v>
      </c>
      <c r="H206">
        <v>367.7</v>
      </c>
    </row>
    <row r="207" spans="1:8" x14ac:dyDescent="0.2">
      <c r="A207">
        <v>6</v>
      </c>
      <c r="B207">
        <v>5.93</v>
      </c>
      <c r="C207">
        <v>51.85</v>
      </c>
      <c r="D207">
        <v>29.63</v>
      </c>
      <c r="E207">
        <v>14.3</v>
      </c>
      <c r="F207">
        <v>25</v>
      </c>
      <c r="G207">
        <v>4.3</v>
      </c>
      <c r="H207">
        <v>263.5</v>
      </c>
    </row>
    <row r="208" spans="1:8" x14ac:dyDescent="0.2">
      <c r="A208">
        <v>7</v>
      </c>
      <c r="B208">
        <v>7.77</v>
      </c>
      <c r="C208">
        <v>45.45</v>
      </c>
      <c r="D208">
        <v>27.27</v>
      </c>
      <c r="E208">
        <v>11.3</v>
      </c>
      <c r="F208">
        <v>28</v>
      </c>
      <c r="G208">
        <v>3.83</v>
      </c>
      <c r="H208">
        <v>217.8</v>
      </c>
    </row>
    <row r="209" spans="1:8" x14ac:dyDescent="0.2">
      <c r="A209">
        <v>8</v>
      </c>
      <c r="B209">
        <v>6.23</v>
      </c>
      <c r="C209">
        <v>58.33</v>
      </c>
      <c r="D209">
        <v>29.17</v>
      </c>
      <c r="E209">
        <v>14.4</v>
      </c>
      <c r="F209">
        <v>24</v>
      </c>
      <c r="G209">
        <v>4.3899999999999997</v>
      </c>
      <c r="H209">
        <v>280.10000000000002</v>
      </c>
    </row>
    <row r="210" spans="1:8" x14ac:dyDescent="0.2">
      <c r="A210">
        <v>9</v>
      </c>
      <c r="B210">
        <v>5.85</v>
      </c>
      <c r="C210">
        <v>48.28</v>
      </c>
      <c r="D210">
        <v>31.03</v>
      </c>
      <c r="E210">
        <v>13.9</v>
      </c>
      <c r="F210">
        <v>29</v>
      </c>
      <c r="G210">
        <v>4.51</v>
      </c>
      <c r="H210">
        <v>293.8</v>
      </c>
    </row>
    <row r="211" spans="1:8" x14ac:dyDescent="0.2">
      <c r="A211">
        <v>10</v>
      </c>
      <c r="B211">
        <v>8.0399999999999991</v>
      </c>
      <c r="C211">
        <v>62.96</v>
      </c>
      <c r="D211">
        <v>27.78</v>
      </c>
      <c r="E211">
        <v>28.2</v>
      </c>
      <c r="F211">
        <v>31</v>
      </c>
      <c r="G211">
        <v>4.9000000000000004</v>
      </c>
      <c r="H211">
        <v>389.6</v>
      </c>
    </row>
    <row r="212" spans="1:8" x14ac:dyDescent="0.2">
      <c r="A212">
        <v>11</v>
      </c>
      <c r="B212">
        <v>6.73</v>
      </c>
      <c r="C212">
        <v>47.83</v>
      </c>
      <c r="D212">
        <v>26.09</v>
      </c>
      <c r="E212">
        <v>12.6</v>
      </c>
      <c r="F212">
        <v>33</v>
      </c>
      <c r="G212">
        <v>4.33</v>
      </c>
      <c r="H212">
        <v>308.2</v>
      </c>
    </row>
    <row r="213" spans="1:8" x14ac:dyDescent="0.2">
      <c r="A213">
        <v>12</v>
      </c>
      <c r="B213">
        <v>4.8499999999999996</v>
      </c>
      <c r="C213">
        <v>58.49</v>
      </c>
      <c r="D213">
        <v>18.87</v>
      </c>
      <c r="E213">
        <v>27.8</v>
      </c>
      <c r="F213">
        <v>29</v>
      </c>
      <c r="G213">
        <v>5.58</v>
      </c>
      <c r="H213">
        <v>382.6</v>
      </c>
    </row>
    <row r="214" spans="1:8" x14ac:dyDescent="0.2">
      <c r="A214">
        <v>13</v>
      </c>
      <c r="B214">
        <v>5.69</v>
      </c>
      <c r="C214">
        <v>63.04</v>
      </c>
      <c r="D214">
        <v>17.39</v>
      </c>
      <c r="E214">
        <v>24.5</v>
      </c>
      <c r="F214">
        <v>16</v>
      </c>
      <c r="G214">
        <v>4.97</v>
      </c>
      <c r="H214">
        <v>312</v>
      </c>
    </row>
    <row r="215" spans="1:8" x14ac:dyDescent="0.2">
      <c r="A215">
        <v>14</v>
      </c>
      <c r="B215">
        <v>8.6199999999999992</v>
      </c>
      <c r="C215">
        <v>59.38</v>
      </c>
      <c r="D215">
        <v>25</v>
      </c>
      <c r="E215">
        <v>19</v>
      </c>
      <c r="F215">
        <v>23</v>
      </c>
      <c r="G215">
        <v>4.7300000000000004</v>
      </c>
      <c r="H215">
        <v>308.2</v>
      </c>
    </row>
    <row r="216" spans="1:8" x14ac:dyDescent="0.2">
      <c r="A216">
        <v>15</v>
      </c>
      <c r="B216">
        <v>6.43</v>
      </c>
      <c r="C216">
        <v>51.52</v>
      </c>
      <c r="D216">
        <v>30.3</v>
      </c>
      <c r="E216">
        <v>16.7</v>
      </c>
      <c r="F216">
        <v>34</v>
      </c>
      <c r="G216">
        <v>4.93</v>
      </c>
      <c r="H216">
        <v>279.39999999999998</v>
      </c>
    </row>
    <row r="217" spans="1:8" x14ac:dyDescent="0.2">
      <c r="A217">
        <v>16</v>
      </c>
      <c r="B217">
        <v>5.15</v>
      </c>
      <c r="C217">
        <v>73.680000000000007</v>
      </c>
      <c r="D217">
        <v>10.53</v>
      </c>
      <c r="E217">
        <v>28.1</v>
      </c>
      <c r="F217">
        <v>25</v>
      </c>
      <c r="G217">
        <v>5.61</v>
      </c>
      <c r="H217">
        <v>405.5</v>
      </c>
    </row>
    <row r="218" spans="1:8" x14ac:dyDescent="0.2">
      <c r="A218">
        <v>17</v>
      </c>
      <c r="B218">
        <v>6.71</v>
      </c>
      <c r="C218">
        <v>54.35</v>
      </c>
      <c r="D218">
        <v>26.09</v>
      </c>
      <c r="E218">
        <v>20.100000000000001</v>
      </c>
      <c r="F218">
        <v>22</v>
      </c>
      <c r="G218">
        <v>4.7</v>
      </c>
      <c r="H218">
        <v>321.89999999999998</v>
      </c>
    </row>
    <row r="219" spans="1:8" x14ac:dyDescent="0.2">
      <c r="A219">
        <v>18</v>
      </c>
      <c r="B219">
        <v>8.08</v>
      </c>
      <c r="C219">
        <v>51.35</v>
      </c>
      <c r="D219">
        <v>37.840000000000003</v>
      </c>
      <c r="E219">
        <v>23.1</v>
      </c>
      <c r="F219">
        <v>22</v>
      </c>
      <c r="G219">
        <v>5.0199999999999996</v>
      </c>
      <c r="H219">
        <v>312.2</v>
      </c>
    </row>
    <row r="220" spans="1:8" x14ac:dyDescent="0.2">
      <c r="A220">
        <v>19</v>
      </c>
      <c r="B220">
        <v>7.39</v>
      </c>
      <c r="C220">
        <v>58</v>
      </c>
      <c r="D220">
        <v>14</v>
      </c>
      <c r="E220">
        <v>27.2</v>
      </c>
      <c r="F220">
        <v>22</v>
      </c>
      <c r="G220">
        <v>5.27</v>
      </c>
      <c r="H220">
        <v>411.5</v>
      </c>
    </row>
    <row r="221" spans="1:8" x14ac:dyDescent="0.2">
      <c r="A221">
        <v>20</v>
      </c>
      <c r="B221">
        <v>5.15</v>
      </c>
      <c r="C221">
        <v>44.83</v>
      </c>
      <c r="D221">
        <v>31.03</v>
      </c>
      <c r="E221">
        <v>13</v>
      </c>
      <c r="F221">
        <v>32</v>
      </c>
      <c r="G221">
        <v>4.4000000000000004</v>
      </c>
      <c r="H221">
        <v>291.3</v>
      </c>
    </row>
    <row r="222" spans="1:8" x14ac:dyDescent="0.2">
      <c r="A222">
        <v>21</v>
      </c>
      <c r="B222">
        <v>8.6199999999999992</v>
      </c>
      <c r="C222">
        <v>42.22</v>
      </c>
      <c r="D222">
        <v>31.11</v>
      </c>
      <c r="E222">
        <v>20.2</v>
      </c>
      <c r="F222">
        <v>26</v>
      </c>
      <c r="G222">
        <v>4.84</v>
      </c>
      <c r="H222">
        <v>294.89999999999998</v>
      </c>
    </row>
    <row r="223" spans="1:8" x14ac:dyDescent="0.2">
      <c r="A223">
        <v>22</v>
      </c>
      <c r="B223">
        <v>7.31</v>
      </c>
      <c r="C223">
        <v>58.14</v>
      </c>
      <c r="D223">
        <v>20.93</v>
      </c>
      <c r="E223">
        <v>20.3</v>
      </c>
      <c r="F223">
        <v>29</v>
      </c>
      <c r="G223">
        <v>4.8099999999999996</v>
      </c>
      <c r="H223">
        <v>313.5</v>
      </c>
    </row>
    <row r="224" spans="1:8" x14ac:dyDescent="0.2">
      <c r="A224">
        <v>23</v>
      </c>
      <c r="B224">
        <v>5</v>
      </c>
      <c r="C224">
        <v>45.45</v>
      </c>
      <c r="D224">
        <v>18.18</v>
      </c>
      <c r="E224">
        <v>17</v>
      </c>
      <c r="F224">
        <v>28</v>
      </c>
      <c r="G224">
        <v>4.74</v>
      </c>
      <c r="H224">
        <v>328.9</v>
      </c>
    </row>
    <row r="225" spans="1:8" x14ac:dyDescent="0.2">
      <c r="A225">
        <v>24</v>
      </c>
      <c r="B225">
        <v>6</v>
      </c>
      <c r="C225">
        <v>53.66</v>
      </c>
      <c r="D225">
        <v>21.95</v>
      </c>
      <c r="E225">
        <v>22.1</v>
      </c>
      <c r="F225">
        <v>24</v>
      </c>
      <c r="G225">
        <v>5.31</v>
      </c>
      <c r="H225">
        <v>355.8</v>
      </c>
    </row>
    <row r="226" spans="1:8" x14ac:dyDescent="0.2">
      <c r="A226">
        <v>25</v>
      </c>
      <c r="B226">
        <v>5.31</v>
      </c>
      <c r="C226">
        <v>59.09</v>
      </c>
      <c r="D226">
        <v>20.45</v>
      </c>
      <c r="E226">
        <v>21.9</v>
      </c>
      <c r="F226">
        <v>30</v>
      </c>
      <c r="G226">
        <v>5.24</v>
      </c>
      <c r="H226">
        <v>355.3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"/>
  <sheetViews>
    <sheetView showGridLines="0" showRowColHeaders="0" workbookViewId="0">
      <selection activeCell="E21" sqref="E21"/>
    </sheetView>
  </sheetViews>
  <sheetFormatPr baseColWidth="10" defaultColWidth="8.83203125" defaultRowHeight="15" x14ac:dyDescent="0.2"/>
  <cols>
    <col min="1" max="1" width="23" bestFit="1" customWidth="1"/>
    <col min="2" max="2" width="12.6640625" bestFit="1" customWidth="1"/>
    <col min="3" max="3" width="14.5" bestFit="1" customWidth="1"/>
    <col min="4" max="4" width="12.6640625" bestFit="1" customWidth="1"/>
    <col min="5" max="5" width="12" bestFit="1" customWidth="1"/>
    <col min="6" max="6" width="13.5" bestFit="1" customWidth="1"/>
    <col min="7" max="9" width="12.6640625" bestFit="1" customWidth="1"/>
    <col min="11" max="11" width="6" bestFit="1" customWidth="1"/>
    <col min="12" max="13" width="4.83203125" bestFit="1" customWidth="1"/>
    <col min="14" max="14" width="8.6640625" bestFit="1" customWidth="1"/>
    <col min="15" max="15" width="17.5" bestFit="1" customWidth="1"/>
    <col min="16" max="16" width="21.5" bestFit="1" customWidth="1"/>
    <col min="17" max="17" width="23" bestFit="1" customWidth="1"/>
    <col min="18" max="18" width="4.83203125" bestFit="1" customWidth="1"/>
  </cols>
  <sheetData>
    <row r="1" spans="1:9" ht="26" x14ac:dyDescent="0.3">
      <c r="A1" s="43" t="s">
        <v>181</v>
      </c>
    </row>
    <row r="2" spans="1:9" ht="16" thickBot="1" x14ac:dyDescent="0.25"/>
    <row r="3" spans="1:9" x14ac:dyDescent="0.2">
      <c r="A3" s="22" t="s">
        <v>148</v>
      </c>
      <c r="B3" s="22"/>
    </row>
    <row r="4" spans="1:9" x14ac:dyDescent="0.2">
      <c r="A4" s="19" t="s">
        <v>149</v>
      </c>
      <c r="B4" s="19">
        <v>0.3553263103882337</v>
      </c>
    </row>
    <row r="5" spans="1:9" x14ac:dyDescent="0.2">
      <c r="A5" s="19" t="s">
        <v>150</v>
      </c>
      <c r="B5" s="19">
        <v>0.1262567868541154</v>
      </c>
    </row>
    <row r="6" spans="1:9" x14ac:dyDescent="0.2">
      <c r="A6" s="19" t="s">
        <v>151</v>
      </c>
      <c r="B6" s="19">
        <v>9.8071521913925583E-2</v>
      </c>
    </row>
    <row r="7" spans="1:9" x14ac:dyDescent="0.2">
      <c r="A7" s="19" t="s">
        <v>152</v>
      </c>
      <c r="B7" s="19">
        <v>6.863647508017678</v>
      </c>
    </row>
    <row r="8" spans="1:9" ht="16" thickBot="1" x14ac:dyDescent="0.25">
      <c r="A8" s="20" t="s">
        <v>153</v>
      </c>
      <c r="B8" s="20">
        <v>225</v>
      </c>
    </row>
    <row r="10" spans="1:9" ht="16" thickBot="1" x14ac:dyDescent="0.25">
      <c r="A10" t="s">
        <v>154</v>
      </c>
    </row>
    <row r="11" spans="1:9" x14ac:dyDescent="0.2">
      <c r="A11" s="21"/>
      <c r="B11" s="21" t="s">
        <v>159</v>
      </c>
      <c r="C11" s="21" t="s">
        <v>160</v>
      </c>
      <c r="D11" s="21" t="s">
        <v>161</v>
      </c>
      <c r="E11" s="21" t="s">
        <v>162</v>
      </c>
      <c r="F11" s="21" t="s">
        <v>163</v>
      </c>
    </row>
    <row r="12" spans="1:9" x14ac:dyDescent="0.2">
      <c r="A12" s="19" t="s">
        <v>155</v>
      </c>
      <c r="B12" s="19">
        <v>7</v>
      </c>
      <c r="C12" s="19">
        <v>1477.2044061931501</v>
      </c>
      <c r="D12" s="19">
        <v>211.02920088473573</v>
      </c>
      <c r="E12" s="19">
        <v>4.4795316674168921</v>
      </c>
      <c r="F12" s="19">
        <v>1.11438878887421E-4</v>
      </c>
    </row>
    <row r="13" spans="1:9" x14ac:dyDescent="0.2">
      <c r="A13" s="19" t="s">
        <v>156</v>
      </c>
      <c r="B13" s="19">
        <v>217</v>
      </c>
      <c r="C13" s="19">
        <v>10222.79559380685</v>
      </c>
      <c r="D13" s="19">
        <v>47.10965711431728</v>
      </c>
      <c r="E13" s="19"/>
      <c r="F13" s="19"/>
    </row>
    <row r="14" spans="1:9" ht="16" thickBot="1" x14ac:dyDescent="0.25">
      <c r="A14" s="20" t="s">
        <v>157</v>
      </c>
      <c r="B14" s="20">
        <v>224</v>
      </c>
      <c r="C14" s="20">
        <v>11700</v>
      </c>
      <c r="D14" s="20"/>
      <c r="E14" s="20"/>
      <c r="F14" s="20"/>
    </row>
    <row r="15" spans="1:9" ht="16" thickBot="1" x14ac:dyDescent="0.25"/>
    <row r="16" spans="1:9" x14ac:dyDescent="0.2">
      <c r="A16" s="21"/>
      <c r="B16" s="21" t="s">
        <v>164</v>
      </c>
      <c r="C16" s="21" t="s">
        <v>152</v>
      </c>
      <c r="D16" s="21" t="s">
        <v>165</v>
      </c>
      <c r="E16" s="21" t="s">
        <v>166</v>
      </c>
      <c r="F16" s="21" t="s">
        <v>167</v>
      </c>
      <c r="G16" s="21" t="s">
        <v>168</v>
      </c>
      <c r="H16" s="21" t="s">
        <v>169</v>
      </c>
      <c r="I16" s="21" t="s">
        <v>170</v>
      </c>
    </row>
    <row r="17" spans="1:9" x14ac:dyDescent="0.2">
      <c r="A17" s="19" t="s">
        <v>158</v>
      </c>
      <c r="B17" s="19">
        <v>22.038458764934557</v>
      </c>
      <c r="C17" s="19">
        <v>9.548566155009544</v>
      </c>
      <c r="D17" s="19">
        <v>2.3080385481093764</v>
      </c>
      <c r="E17" s="19">
        <v>2.1938958922954707E-2</v>
      </c>
      <c r="F17" s="19">
        <v>3.2186521407159248</v>
      </c>
      <c r="G17" s="19">
        <v>40.858265389153189</v>
      </c>
      <c r="H17" s="19">
        <v>3.2186521407159248</v>
      </c>
      <c r="I17" s="19">
        <v>40.858265389153189</v>
      </c>
    </row>
    <row r="18" spans="1:9" x14ac:dyDescent="0.2">
      <c r="A18" s="19" t="s">
        <v>178</v>
      </c>
      <c r="B18" s="19">
        <v>-0.24059313812118951</v>
      </c>
      <c r="C18" s="19">
        <v>0.4570331525001336</v>
      </c>
      <c r="D18" s="19">
        <v>-0.52642382025255641</v>
      </c>
      <c r="E18" s="19">
        <v>0.59913141124309499</v>
      </c>
      <c r="F18" s="19">
        <v>-1.1413855095912222</v>
      </c>
      <c r="G18" s="19">
        <v>0.66019923334884312</v>
      </c>
      <c r="H18" s="19">
        <v>-1.1413855095912222</v>
      </c>
      <c r="I18" s="19">
        <v>0.66019923334884312</v>
      </c>
    </row>
    <row r="19" spans="1:9" x14ac:dyDescent="0.2">
      <c r="A19" s="19" t="s">
        <v>146</v>
      </c>
      <c r="B19" s="19">
        <v>-0.17301273405852993</v>
      </c>
      <c r="C19" s="19">
        <v>8.5415410635601818E-2</v>
      </c>
      <c r="D19" s="19">
        <v>-2.0255447204560633</v>
      </c>
      <c r="E19" s="33">
        <v>4.4035830927315528E-2</v>
      </c>
      <c r="F19" s="19">
        <v>-0.34136277581290336</v>
      </c>
      <c r="G19" s="19">
        <v>-4.6626923041565016E-3</v>
      </c>
      <c r="H19" s="19">
        <v>-0.34136277581290336</v>
      </c>
      <c r="I19" s="19">
        <v>-4.6626923041565016E-3</v>
      </c>
    </row>
    <row r="20" spans="1:9" x14ac:dyDescent="0.2">
      <c r="A20" s="19" t="s">
        <v>147</v>
      </c>
      <c r="B20" s="19">
        <v>-6.1725747157042626E-2</v>
      </c>
      <c r="C20" s="19">
        <v>8.4093120780951353E-2</v>
      </c>
      <c r="D20" s="19">
        <v>-0.73401660663573154</v>
      </c>
      <c r="E20" s="19">
        <v>0.46373096118349044</v>
      </c>
      <c r="F20" s="19">
        <v>-0.22746961339126928</v>
      </c>
      <c r="G20" s="19">
        <v>0.10401811907718403</v>
      </c>
      <c r="H20" s="19">
        <v>-0.22746961339126928</v>
      </c>
      <c r="I20" s="19">
        <v>0.10401811907718403</v>
      </c>
    </row>
    <row r="21" spans="1:9" x14ac:dyDescent="0.2">
      <c r="A21" s="19" t="s">
        <v>182</v>
      </c>
      <c r="B21" s="19">
        <v>0.77104099654779457</v>
      </c>
      <c r="C21" s="19">
        <v>0.24292724138260288</v>
      </c>
      <c r="D21" s="19">
        <v>3.1739585571361628</v>
      </c>
      <c r="E21" s="33">
        <v>1.7219392628713538E-3</v>
      </c>
      <c r="F21" s="19">
        <v>0.29224201957501589</v>
      </c>
      <c r="G21" s="19">
        <v>1.2498399735205732</v>
      </c>
      <c r="H21" s="19">
        <v>0.29224201957501589</v>
      </c>
      <c r="I21" s="19">
        <v>1.2498399735205732</v>
      </c>
    </row>
    <row r="22" spans="1:9" x14ac:dyDescent="0.2">
      <c r="A22" s="19" t="s">
        <v>179</v>
      </c>
      <c r="B22" s="19">
        <v>-0.13503400723610171</v>
      </c>
      <c r="C22" s="19">
        <v>8.92244067404874E-2</v>
      </c>
      <c r="D22" s="19">
        <v>-1.5134200626164238</v>
      </c>
      <c r="E22" s="19">
        <v>0.13162806815166478</v>
      </c>
      <c r="F22" s="19">
        <v>-0.31089141386208363</v>
      </c>
      <c r="G22" s="19">
        <v>4.0823399389880249E-2</v>
      </c>
      <c r="H22" s="19">
        <v>-0.31089141386208363</v>
      </c>
      <c r="I22" s="19">
        <v>4.0823399389880249E-2</v>
      </c>
    </row>
    <row r="23" spans="1:9" x14ac:dyDescent="0.2">
      <c r="A23" s="19" t="s">
        <v>183</v>
      </c>
      <c r="B23" s="19">
        <v>-1.092137127100089</v>
      </c>
      <c r="C23" s="19">
        <v>1.9759119007055816</v>
      </c>
      <c r="D23" s="19">
        <v>-0.55272561833859901</v>
      </c>
      <c r="E23" s="19">
        <v>0.58102021662850745</v>
      </c>
      <c r="F23" s="19">
        <v>-4.986573137082801</v>
      </c>
      <c r="G23" s="19">
        <v>2.8022988828826225</v>
      </c>
      <c r="H23" s="19">
        <v>-4.986573137082801</v>
      </c>
      <c r="I23" s="19">
        <v>2.8022988828826225</v>
      </c>
    </row>
    <row r="24" spans="1:9" ht="16" thickBot="1" x14ac:dyDescent="0.25">
      <c r="A24" s="20" t="s">
        <v>180</v>
      </c>
      <c r="B24" s="20">
        <v>-1.0607399932514227E-2</v>
      </c>
      <c r="C24" s="20">
        <v>2.3215034679041846E-2</v>
      </c>
      <c r="D24" s="20">
        <v>-0.45691940930376529</v>
      </c>
      <c r="E24" s="20">
        <v>0.64818603039409328</v>
      </c>
      <c r="F24" s="20">
        <v>-5.6363218800133556E-2</v>
      </c>
      <c r="G24" s="20">
        <v>3.5148418935105098E-2</v>
      </c>
      <c r="H24" s="20">
        <v>-5.6363218800133556E-2</v>
      </c>
      <c r="I24" s="20">
        <v>3.5148418935105098E-2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6"/>
  <sheetViews>
    <sheetView showGridLines="0" workbookViewId="0">
      <selection activeCell="A2" sqref="A2"/>
    </sheetView>
  </sheetViews>
  <sheetFormatPr baseColWidth="10" defaultColWidth="8.83203125" defaultRowHeight="15" x14ac:dyDescent="0.2"/>
  <cols>
    <col min="1" max="1" width="7.5" bestFit="1" customWidth="1"/>
    <col min="2" max="2" width="14.33203125" bestFit="1" customWidth="1"/>
    <col min="3" max="3" width="17.6640625" bestFit="1" customWidth="1"/>
    <col min="4" max="4" width="18.33203125" bestFit="1" customWidth="1"/>
    <col min="5" max="5" width="25.83203125" bestFit="1" customWidth="1"/>
    <col min="6" max="6" width="26.5" bestFit="1" customWidth="1"/>
  </cols>
  <sheetData>
    <row r="1" spans="1:6" x14ac:dyDescent="0.2">
      <c r="A1" t="s">
        <v>137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</row>
    <row r="2" spans="1:6" x14ac:dyDescent="0.2">
      <c r="A2">
        <v>1</v>
      </c>
      <c r="B2">
        <v>73.7</v>
      </c>
      <c r="C2">
        <v>21.26</v>
      </c>
      <c r="D2">
        <v>7.94</v>
      </c>
      <c r="E2">
        <v>19.7</v>
      </c>
      <c r="F2">
        <v>5.2</v>
      </c>
    </row>
    <row r="3" spans="1:6" x14ac:dyDescent="0.2">
      <c r="A3">
        <v>2</v>
      </c>
      <c r="B3">
        <v>75.900000000000006</v>
      </c>
      <c r="C3">
        <v>19.54</v>
      </c>
      <c r="D3">
        <v>15.53</v>
      </c>
      <c r="E3">
        <v>21.26</v>
      </c>
      <c r="F3">
        <v>10.65</v>
      </c>
    </row>
    <row r="4" spans="1:6" x14ac:dyDescent="0.2">
      <c r="A4">
        <v>3</v>
      </c>
      <c r="B4">
        <v>72</v>
      </c>
      <c r="C4">
        <v>23.23</v>
      </c>
      <c r="D4">
        <v>15.33</v>
      </c>
      <c r="E4">
        <v>19.28</v>
      </c>
      <c r="F4">
        <v>6.25</v>
      </c>
    </row>
    <row r="5" spans="1:6" x14ac:dyDescent="0.2">
      <c r="A5">
        <v>4</v>
      </c>
      <c r="B5">
        <v>80</v>
      </c>
      <c r="C5">
        <v>20.97</v>
      </c>
      <c r="D5">
        <v>11.23</v>
      </c>
      <c r="E5">
        <v>18.84</v>
      </c>
      <c r="F5">
        <v>8.92</v>
      </c>
    </row>
    <row r="6" spans="1:6" x14ac:dyDescent="0.2">
      <c r="A6">
        <v>5</v>
      </c>
      <c r="B6">
        <v>68.8</v>
      </c>
      <c r="C6">
        <v>23.29</v>
      </c>
      <c r="D6">
        <v>10.17</v>
      </c>
      <c r="E6">
        <v>21.76</v>
      </c>
      <c r="F6">
        <v>7.44</v>
      </c>
    </row>
    <row r="7" spans="1:6" x14ac:dyDescent="0.2">
      <c r="A7">
        <v>6</v>
      </c>
      <c r="B7">
        <v>77.3</v>
      </c>
      <c r="C7">
        <v>24.36</v>
      </c>
      <c r="D7">
        <v>5.15</v>
      </c>
      <c r="E7">
        <v>18.920000000000002</v>
      </c>
      <c r="F7">
        <v>3.93</v>
      </c>
    </row>
    <row r="8" spans="1:6" x14ac:dyDescent="0.2">
      <c r="A8">
        <v>7</v>
      </c>
      <c r="B8">
        <v>91.7</v>
      </c>
      <c r="C8">
        <v>19.690000000000001</v>
      </c>
      <c r="D8">
        <v>6.47</v>
      </c>
      <c r="E8">
        <v>18.82</v>
      </c>
      <c r="F8">
        <v>6.95</v>
      </c>
    </row>
    <row r="9" spans="1:6" x14ac:dyDescent="0.2">
      <c r="A9">
        <v>8</v>
      </c>
      <c r="B9">
        <v>71.400000000000006</v>
      </c>
      <c r="C9">
        <v>22.58</v>
      </c>
      <c r="D9">
        <v>7.41</v>
      </c>
      <c r="E9">
        <v>18.03</v>
      </c>
      <c r="F9">
        <v>18.600000000000001</v>
      </c>
    </row>
    <row r="10" spans="1:6" x14ac:dyDescent="0.2">
      <c r="A10">
        <v>9</v>
      </c>
      <c r="B10">
        <v>74.099999999999994</v>
      </c>
      <c r="C10">
        <v>19.07</v>
      </c>
      <c r="D10">
        <v>6.81</v>
      </c>
      <c r="E10">
        <v>19.97</v>
      </c>
      <c r="F10">
        <v>7.3</v>
      </c>
    </row>
    <row r="11" spans="1:6" x14ac:dyDescent="0.2">
      <c r="A11">
        <v>10</v>
      </c>
      <c r="B11">
        <v>79.2</v>
      </c>
      <c r="C11">
        <v>18.690000000000001</v>
      </c>
      <c r="D11">
        <v>14.28</v>
      </c>
      <c r="E11">
        <v>22.1</v>
      </c>
      <c r="F11">
        <v>6.52</v>
      </c>
    </row>
    <row r="12" spans="1:6" x14ac:dyDescent="0.2">
      <c r="A12">
        <v>11</v>
      </c>
      <c r="B12">
        <v>76.900000000000006</v>
      </c>
      <c r="C12">
        <v>20.63</v>
      </c>
      <c r="D12">
        <v>10.86</v>
      </c>
      <c r="E12">
        <v>17.940000000000001</v>
      </c>
      <c r="F12">
        <v>0.94</v>
      </c>
    </row>
    <row r="13" spans="1:6" x14ac:dyDescent="0.2">
      <c r="A13">
        <v>12</v>
      </c>
      <c r="B13">
        <v>81.5</v>
      </c>
      <c r="C13">
        <v>14.84</v>
      </c>
      <c r="D13">
        <v>6.77</v>
      </c>
      <c r="E13">
        <v>20.399999999999999</v>
      </c>
      <c r="F13">
        <v>7.53</v>
      </c>
    </row>
    <row r="14" spans="1:6" x14ac:dyDescent="0.2">
      <c r="A14">
        <v>13</v>
      </c>
      <c r="B14">
        <v>73.3</v>
      </c>
      <c r="C14">
        <v>19.13</v>
      </c>
      <c r="D14">
        <v>7.75</v>
      </c>
      <c r="E14">
        <v>18.760000000000002</v>
      </c>
      <c r="F14">
        <v>3.45</v>
      </c>
    </row>
    <row r="15" spans="1:6" x14ac:dyDescent="0.2">
      <c r="A15">
        <v>14</v>
      </c>
      <c r="B15">
        <v>84</v>
      </c>
      <c r="C15">
        <v>22.31</v>
      </c>
      <c r="D15">
        <v>7.56</v>
      </c>
      <c r="E15">
        <v>23.6</v>
      </c>
      <c r="F15">
        <v>9.7899999999999991</v>
      </c>
    </row>
    <row r="16" spans="1:6" x14ac:dyDescent="0.2">
      <c r="A16">
        <v>15</v>
      </c>
      <c r="B16">
        <v>79.2</v>
      </c>
      <c r="C16">
        <v>20.79</v>
      </c>
      <c r="D16">
        <v>11.25</v>
      </c>
      <c r="E16">
        <v>20.190000000000001</v>
      </c>
      <c r="F16">
        <v>5.5</v>
      </c>
    </row>
    <row r="17" spans="1:6" x14ac:dyDescent="0.2">
      <c r="A17">
        <v>16</v>
      </c>
      <c r="B17">
        <v>71.400000000000006</v>
      </c>
      <c r="C17">
        <v>21.43</v>
      </c>
      <c r="D17">
        <v>7.98</v>
      </c>
      <c r="E17">
        <v>17.899999999999999</v>
      </c>
      <c r="F17">
        <v>4.3600000000000003</v>
      </c>
    </row>
    <row r="18" spans="1:6" x14ac:dyDescent="0.2">
      <c r="A18">
        <v>17</v>
      </c>
      <c r="B18">
        <v>65.400000000000006</v>
      </c>
      <c r="C18">
        <v>22.83</v>
      </c>
      <c r="D18">
        <v>9.69</v>
      </c>
      <c r="E18">
        <v>25.81</v>
      </c>
      <c r="F18">
        <v>13.12</v>
      </c>
    </row>
    <row r="19" spans="1:6" x14ac:dyDescent="0.2">
      <c r="A19">
        <v>18</v>
      </c>
      <c r="B19">
        <v>66.7</v>
      </c>
      <c r="C19">
        <v>21.16</v>
      </c>
      <c r="D19">
        <v>1.86</v>
      </c>
      <c r="E19">
        <v>22.96</v>
      </c>
      <c r="F19">
        <v>6</v>
      </c>
    </row>
    <row r="20" spans="1:6" x14ac:dyDescent="0.2">
      <c r="A20">
        <v>19</v>
      </c>
      <c r="B20">
        <v>76.900000000000006</v>
      </c>
      <c r="C20">
        <v>19.04</v>
      </c>
      <c r="D20">
        <v>9.92</v>
      </c>
      <c r="E20">
        <v>22.21</v>
      </c>
      <c r="F20">
        <v>9.25</v>
      </c>
    </row>
    <row r="21" spans="1:6" x14ac:dyDescent="0.2">
      <c r="A21">
        <v>20</v>
      </c>
      <c r="B21">
        <v>80.8</v>
      </c>
      <c r="C21">
        <v>21.19</v>
      </c>
      <c r="D21">
        <v>11.57</v>
      </c>
      <c r="E21">
        <v>23.12</v>
      </c>
      <c r="F21">
        <v>7.9</v>
      </c>
    </row>
    <row r="22" spans="1:6" x14ac:dyDescent="0.2">
      <c r="A22">
        <v>21</v>
      </c>
      <c r="B22">
        <v>76</v>
      </c>
      <c r="C22">
        <v>20.63</v>
      </c>
      <c r="D22">
        <v>8.1199999999999992</v>
      </c>
      <c r="E22">
        <v>20.85</v>
      </c>
      <c r="F22">
        <v>9.6300000000000008</v>
      </c>
    </row>
    <row r="23" spans="1:6" x14ac:dyDescent="0.2">
      <c r="A23">
        <v>22</v>
      </c>
      <c r="B23">
        <v>68.8</v>
      </c>
      <c r="C23">
        <v>24.88</v>
      </c>
      <c r="D23">
        <v>11.12</v>
      </c>
      <c r="E23">
        <v>20.260000000000002</v>
      </c>
      <c r="F23">
        <v>12.67</v>
      </c>
    </row>
    <row r="24" spans="1:6" x14ac:dyDescent="0.2">
      <c r="A24">
        <v>23</v>
      </c>
      <c r="B24">
        <v>84</v>
      </c>
      <c r="C24">
        <v>23.37</v>
      </c>
      <c r="D24">
        <v>7.58</v>
      </c>
      <c r="E24">
        <v>20.56</v>
      </c>
      <c r="F24">
        <v>7.48</v>
      </c>
    </row>
    <row r="25" spans="1:6" x14ac:dyDescent="0.2">
      <c r="A25">
        <v>24</v>
      </c>
      <c r="B25">
        <v>87.5</v>
      </c>
      <c r="C25">
        <v>19.04</v>
      </c>
      <c r="D25">
        <v>10.69</v>
      </c>
      <c r="E25">
        <v>18</v>
      </c>
      <c r="F25">
        <v>3.17</v>
      </c>
    </row>
    <row r="26" spans="1:6" x14ac:dyDescent="0.2">
      <c r="A26">
        <v>25</v>
      </c>
      <c r="B26">
        <v>91.3</v>
      </c>
      <c r="C26">
        <v>28.11</v>
      </c>
      <c r="D26">
        <v>9.0299999999999994</v>
      </c>
      <c r="E26">
        <v>20.84</v>
      </c>
      <c r="F26">
        <v>9.2100000000000009</v>
      </c>
    </row>
    <row r="27" spans="1:6" x14ac:dyDescent="0.2">
      <c r="A27">
        <v>1</v>
      </c>
      <c r="B27">
        <v>69.7</v>
      </c>
      <c r="C27">
        <v>21.7</v>
      </c>
      <c r="D27">
        <v>12.7</v>
      </c>
      <c r="E27">
        <v>19</v>
      </c>
      <c r="F27">
        <v>10.33</v>
      </c>
    </row>
    <row r="28" spans="1:6" x14ac:dyDescent="0.2">
      <c r="A28">
        <v>2</v>
      </c>
      <c r="B28">
        <v>84.8</v>
      </c>
      <c r="C28">
        <v>21.63</v>
      </c>
      <c r="D28">
        <v>2.33</v>
      </c>
      <c r="E28">
        <v>24.85</v>
      </c>
      <c r="F28">
        <v>6.06</v>
      </c>
    </row>
    <row r="29" spans="1:6" x14ac:dyDescent="0.2">
      <c r="A29">
        <v>3</v>
      </c>
      <c r="B29">
        <v>90</v>
      </c>
      <c r="C29">
        <v>24.33</v>
      </c>
      <c r="D29">
        <v>9.06</v>
      </c>
      <c r="E29">
        <v>21.04</v>
      </c>
      <c r="F29">
        <v>8.4499999999999993</v>
      </c>
    </row>
    <row r="30" spans="1:6" x14ac:dyDescent="0.2">
      <c r="A30">
        <v>4</v>
      </c>
      <c r="B30">
        <v>66.7</v>
      </c>
      <c r="C30">
        <v>24.12</v>
      </c>
      <c r="D30">
        <v>13.07</v>
      </c>
      <c r="E30">
        <v>16.260000000000002</v>
      </c>
      <c r="F30">
        <v>3.58</v>
      </c>
    </row>
    <row r="31" spans="1:6" x14ac:dyDescent="0.2">
      <c r="A31">
        <v>5</v>
      </c>
      <c r="B31">
        <v>79.2</v>
      </c>
      <c r="C31">
        <v>21.45</v>
      </c>
      <c r="D31">
        <v>7.5</v>
      </c>
      <c r="E31">
        <v>21.46</v>
      </c>
      <c r="F31">
        <v>1.0900000000000001</v>
      </c>
    </row>
    <row r="32" spans="1:6" x14ac:dyDescent="0.2">
      <c r="A32">
        <v>6</v>
      </c>
      <c r="B32">
        <v>63.2</v>
      </c>
      <c r="C32">
        <v>21.22</v>
      </c>
      <c r="D32">
        <v>3.38</v>
      </c>
      <c r="E32">
        <v>21.63</v>
      </c>
      <c r="F32">
        <v>12.81</v>
      </c>
    </row>
    <row r="33" spans="1:6" x14ac:dyDescent="0.2">
      <c r="A33">
        <v>7</v>
      </c>
      <c r="B33">
        <v>84</v>
      </c>
      <c r="C33">
        <v>24.49</v>
      </c>
      <c r="D33">
        <v>10.11</v>
      </c>
      <c r="E33">
        <v>20.43</v>
      </c>
      <c r="F33">
        <v>2.54</v>
      </c>
    </row>
    <row r="34" spans="1:6" x14ac:dyDescent="0.2">
      <c r="A34">
        <v>8</v>
      </c>
      <c r="B34">
        <v>76.5</v>
      </c>
      <c r="C34">
        <v>23.55</v>
      </c>
      <c r="D34">
        <v>10.41</v>
      </c>
      <c r="E34">
        <v>20.43</v>
      </c>
      <c r="F34">
        <v>2.19</v>
      </c>
    </row>
    <row r="35" spans="1:6" x14ac:dyDescent="0.2">
      <c r="A35">
        <v>9</v>
      </c>
      <c r="B35">
        <v>80</v>
      </c>
      <c r="C35">
        <v>22.77</v>
      </c>
      <c r="D35">
        <v>13.94</v>
      </c>
      <c r="E35">
        <v>23.56</v>
      </c>
      <c r="F35">
        <v>13.85</v>
      </c>
    </row>
    <row r="36" spans="1:6" x14ac:dyDescent="0.2">
      <c r="A36">
        <v>10</v>
      </c>
      <c r="B36">
        <v>76</v>
      </c>
      <c r="C36">
        <v>17.71</v>
      </c>
      <c r="D36">
        <v>3.63</v>
      </c>
      <c r="E36">
        <v>19.13</v>
      </c>
      <c r="F36">
        <v>5.94</v>
      </c>
    </row>
    <row r="37" spans="1:6" x14ac:dyDescent="0.2">
      <c r="A37">
        <v>11</v>
      </c>
      <c r="B37">
        <v>88.2</v>
      </c>
      <c r="C37">
        <v>21.15</v>
      </c>
      <c r="D37">
        <v>7.96</v>
      </c>
      <c r="E37">
        <v>22.12</v>
      </c>
      <c r="F37">
        <v>8.82</v>
      </c>
    </row>
    <row r="38" spans="1:6" x14ac:dyDescent="0.2">
      <c r="A38">
        <v>12</v>
      </c>
      <c r="B38">
        <v>81.8</v>
      </c>
      <c r="C38">
        <v>28.39</v>
      </c>
      <c r="D38">
        <v>11.39</v>
      </c>
      <c r="E38">
        <v>20.49</v>
      </c>
      <c r="F38">
        <v>11.47</v>
      </c>
    </row>
    <row r="39" spans="1:6" x14ac:dyDescent="0.2">
      <c r="A39">
        <v>13</v>
      </c>
      <c r="B39">
        <v>57.1</v>
      </c>
      <c r="C39">
        <v>22.5</v>
      </c>
      <c r="D39">
        <v>4.2699999999999996</v>
      </c>
      <c r="E39">
        <v>23.05</v>
      </c>
      <c r="F39">
        <v>3.5</v>
      </c>
    </row>
    <row r="40" spans="1:6" x14ac:dyDescent="0.2">
      <c r="A40">
        <v>14</v>
      </c>
      <c r="B40">
        <v>80.8</v>
      </c>
      <c r="C40">
        <v>24.96</v>
      </c>
      <c r="D40">
        <v>3.74</v>
      </c>
      <c r="E40">
        <v>16.88</v>
      </c>
      <c r="F40">
        <v>9.3800000000000008</v>
      </c>
    </row>
    <row r="41" spans="1:6" x14ac:dyDescent="0.2">
      <c r="A41">
        <v>15</v>
      </c>
      <c r="B41">
        <v>87</v>
      </c>
      <c r="C41">
        <v>20.72</v>
      </c>
      <c r="D41">
        <v>13.17</v>
      </c>
      <c r="E41">
        <v>19.12</v>
      </c>
      <c r="F41">
        <v>8.8000000000000007</v>
      </c>
    </row>
    <row r="42" spans="1:6" x14ac:dyDescent="0.2">
      <c r="A42">
        <v>16</v>
      </c>
      <c r="B42">
        <v>76.5</v>
      </c>
      <c r="C42">
        <v>20.399999999999999</v>
      </c>
      <c r="D42">
        <v>9.7899999999999991</v>
      </c>
      <c r="E42">
        <v>20.36</v>
      </c>
      <c r="F42">
        <v>18.91</v>
      </c>
    </row>
    <row r="43" spans="1:6" x14ac:dyDescent="0.2">
      <c r="A43">
        <v>17</v>
      </c>
      <c r="B43">
        <v>85.2</v>
      </c>
      <c r="C43">
        <v>21.9</v>
      </c>
      <c r="D43">
        <v>10.83</v>
      </c>
      <c r="E43">
        <v>20.71</v>
      </c>
      <c r="F43">
        <v>7.18</v>
      </c>
    </row>
    <row r="44" spans="1:6" x14ac:dyDescent="0.2">
      <c r="A44">
        <v>18</v>
      </c>
      <c r="B44">
        <v>86.7</v>
      </c>
      <c r="C44">
        <v>24.22</v>
      </c>
      <c r="D44">
        <v>6.09</v>
      </c>
      <c r="E44">
        <v>23.11</v>
      </c>
      <c r="F44">
        <v>15.82</v>
      </c>
    </row>
    <row r="45" spans="1:6" x14ac:dyDescent="0.2">
      <c r="A45">
        <v>19</v>
      </c>
      <c r="B45">
        <v>91.7</v>
      </c>
      <c r="C45">
        <v>25.16</v>
      </c>
      <c r="D45">
        <v>12.58</v>
      </c>
      <c r="E45">
        <v>22.42</v>
      </c>
      <c r="F45">
        <v>15.28</v>
      </c>
    </row>
    <row r="46" spans="1:6" x14ac:dyDescent="0.2">
      <c r="A46">
        <v>20</v>
      </c>
      <c r="B46">
        <v>76.2</v>
      </c>
      <c r="C46">
        <v>20.67</v>
      </c>
      <c r="D46">
        <v>6.67</v>
      </c>
      <c r="E46">
        <v>23.01</v>
      </c>
      <c r="F46">
        <v>4.7</v>
      </c>
    </row>
    <row r="47" spans="1:6" x14ac:dyDescent="0.2">
      <c r="A47">
        <v>21</v>
      </c>
      <c r="B47">
        <v>66.7</v>
      </c>
      <c r="C47">
        <v>19.82</v>
      </c>
      <c r="D47">
        <v>7.28</v>
      </c>
      <c r="E47">
        <v>16.62</v>
      </c>
      <c r="F47">
        <v>4.0599999999999996</v>
      </c>
    </row>
    <row r="48" spans="1:6" x14ac:dyDescent="0.2">
      <c r="A48">
        <v>22</v>
      </c>
      <c r="B48">
        <v>67.7</v>
      </c>
      <c r="C48">
        <v>33.409999999999997</v>
      </c>
      <c r="D48">
        <v>17.18</v>
      </c>
      <c r="E48">
        <v>18.239999999999998</v>
      </c>
      <c r="F48">
        <v>11.26</v>
      </c>
    </row>
    <row r="49" spans="1:6" x14ac:dyDescent="0.2">
      <c r="A49">
        <v>23</v>
      </c>
      <c r="B49">
        <v>66.7</v>
      </c>
      <c r="C49">
        <v>25.06</v>
      </c>
      <c r="D49">
        <v>8.31</v>
      </c>
      <c r="E49">
        <v>20.72</v>
      </c>
      <c r="F49">
        <v>1.94</v>
      </c>
    </row>
    <row r="50" spans="1:6" x14ac:dyDescent="0.2">
      <c r="A50">
        <v>24</v>
      </c>
      <c r="B50">
        <v>93.8</v>
      </c>
      <c r="C50">
        <v>21.1</v>
      </c>
      <c r="D50">
        <v>7.56</v>
      </c>
      <c r="E50">
        <v>19.079999999999998</v>
      </c>
      <c r="F50">
        <v>7.33</v>
      </c>
    </row>
    <row r="51" spans="1:6" x14ac:dyDescent="0.2">
      <c r="A51">
        <v>25</v>
      </c>
      <c r="B51">
        <v>41.2</v>
      </c>
      <c r="C51">
        <v>21</v>
      </c>
      <c r="D51">
        <v>13.94</v>
      </c>
      <c r="E51">
        <v>20.54</v>
      </c>
      <c r="F51">
        <v>3.91</v>
      </c>
    </row>
    <row r="52" spans="1:6" x14ac:dyDescent="0.2">
      <c r="A52">
        <v>1</v>
      </c>
      <c r="B52">
        <v>65</v>
      </c>
      <c r="C52">
        <v>22.72</v>
      </c>
      <c r="D52">
        <v>11.28</v>
      </c>
      <c r="E52">
        <v>17.239999999999998</v>
      </c>
      <c r="F52">
        <v>4.13</v>
      </c>
    </row>
    <row r="53" spans="1:6" x14ac:dyDescent="0.2">
      <c r="A53">
        <v>2</v>
      </c>
      <c r="B53">
        <v>85.7</v>
      </c>
      <c r="C53">
        <v>19.690000000000001</v>
      </c>
      <c r="D53">
        <v>12.89</v>
      </c>
      <c r="E53">
        <v>21.39</v>
      </c>
      <c r="F53">
        <v>10.42</v>
      </c>
    </row>
    <row r="54" spans="1:6" x14ac:dyDescent="0.2">
      <c r="A54">
        <v>3</v>
      </c>
      <c r="B54">
        <v>81.5</v>
      </c>
      <c r="C54">
        <v>21.62</v>
      </c>
      <c r="D54">
        <v>9.86</v>
      </c>
      <c r="E54">
        <v>20.190000000000001</v>
      </c>
      <c r="F54">
        <v>7.42</v>
      </c>
    </row>
    <row r="55" spans="1:6" x14ac:dyDescent="0.2">
      <c r="A55">
        <v>4</v>
      </c>
      <c r="B55">
        <v>63.6</v>
      </c>
      <c r="C55">
        <v>20.53</v>
      </c>
      <c r="D55">
        <v>9.36</v>
      </c>
      <c r="E55">
        <v>21.52</v>
      </c>
      <c r="F55">
        <v>8.9600000000000009</v>
      </c>
    </row>
    <row r="56" spans="1:6" x14ac:dyDescent="0.2">
      <c r="A56">
        <v>5</v>
      </c>
      <c r="B56">
        <v>90</v>
      </c>
      <c r="C56">
        <v>19.82</v>
      </c>
      <c r="D56">
        <v>10.53</v>
      </c>
      <c r="E56">
        <v>18.8</v>
      </c>
      <c r="F56">
        <v>8.6300000000000008</v>
      </c>
    </row>
    <row r="57" spans="1:6" x14ac:dyDescent="0.2">
      <c r="A57">
        <v>6</v>
      </c>
      <c r="B57">
        <v>63.6</v>
      </c>
      <c r="C57">
        <v>24.03</v>
      </c>
      <c r="D57">
        <v>5.77</v>
      </c>
      <c r="E57">
        <v>22.43</v>
      </c>
      <c r="F57">
        <v>9.67</v>
      </c>
    </row>
    <row r="58" spans="1:6" x14ac:dyDescent="0.2">
      <c r="A58">
        <v>7</v>
      </c>
      <c r="B58">
        <v>69.2</v>
      </c>
      <c r="C58">
        <v>20.03</v>
      </c>
      <c r="D58">
        <v>4.6500000000000004</v>
      </c>
      <c r="E58">
        <v>18.57</v>
      </c>
      <c r="F58">
        <v>7.71</v>
      </c>
    </row>
    <row r="59" spans="1:6" x14ac:dyDescent="0.2">
      <c r="A59">
        <v>8</v>
      </c>
      <c r="B59">
        <v>61.1</v>
      </c>
      <c r="C59">
        <v>21.76</v>
      </c>
      <c r="D59">
        <v>8.08</v>
      </c>
      <c r="E59">
        <v>22.64</v>
      </c>
      <c r="F59">
        <v>9.8000000000000007</v>
      </c>
    </row>
    <row r="60" spans="1:6" x14ac:dyDescent="0.2">
      <c r="A60">
        <v>9</v>
      </c>
      <c r="B60">
        <v>76.2</v>
      </c>
      <c r="C60">
        <v>22.38</v>
      </c>
      <c r="D60">
        <v>10.48</v>
      </c>
      <c r="E60">
        <v>19.25</v>
      </c>
      <c r="F60">
        <v>7.12</v>
      </c>
    </row>
    <row r="61" spans="1:6" x14ac:dyDescent="0.2">
      <c r="A61">
        <v>10</v>
      </c>
      <c r="B61">
        <v>81.8</v>
      </c>
      <c r="C61">
        <v>19.079999999999998</v>
      </c>
      <c r="D61">
        <v>9.0500000000000007</v>
      </c>
      <c r="E61">
        <v>21.53</v>
      </c>
      <c r="F61">
        <v>12.95</v>
      </c>
    </row>
    <row r="62" spans="1:6" x14ac:dyDescent="0.2">
      <c r="A62">
        <v>11</v>
      </c>
      <c r="B62">
        <v>75</v>
      </c>
      <c r="C62">
        <v>19.93</v>
      </c>
      <c r="D62">
        <v>5.96</v>
      </c>
      <c r="E62">
        <v>17.899999999999999</v>
      </c>
      <c r="F62">
        <v>11.65</v>
      </c>
    </row>
    <row r="63" spans="1:6" x14ac:dyDescent="0.2">
      <c r="A63">
        <v>12</v>
      </c>
      <c r="B63">
        <v>82.1</v>
      </c>
      <c r="C63">
        <v>24.13</v>
      </c>
      <c r="D63">
        <v>3.67</v>
      </c>
      <c r="E63">
        <v>23.27</v>
      </c>
      <c r="F63">
        <v>9.58</v>
      </c>
    </row>
    <row r="64" spans="1:6" x14ac:dyDescent="0.2">
      <c r="A64">
        <v>13</v>
      </c>
      <c r="B64">
        <v>86.4</v>
      </c>
      <c r="C64">
        <v>21.65</v>
      </c>
      <c r="D64">
        <v>11.08</v>
      </c>
      <c r="E64">
        <v>19.899999999999999</v>
      </c>
      <c r="F64">
        <v>9.66</v>
      </c>
    </row>
    <row r="65" spans="1:6" x14ac:dyDescent="0.2">
      <c r="A65">
        <v>14</v>
      </c>
      <c r="B65">
        <v>72</v>
      </c>
      <c r="C65">
        <v>24.65</v>
      </c>
      <c r="D65">
        <v>10.41</v>
      </c>
      <c r="E65">
        <v>24.85</v>
      </c>
      <c r="F65">
        <v>3.18</v>
      </c>
    </row>
    <row r="66" spans="1:6" x14ac:dyDescent="0.2">
      <c r="A66">
        <v>15</v>
      </c>
      <c r="B66">
        <v>75</v>
      </c>
      <c r="C66">
        <v>18.760000000000002</v>
      </c>
      <c r="D66">
        <v>5.69</v>
      </c>
      <c r="E66">
        <v>19.899999999999999</v>
      </c>
      <c r="F66">
        <v>8</v>
      </c>
    </row>
    <row r="67" spans="1:6" x14ac:dyDescent="0.2">
      <c r="A67">
        <v>16</v>
      </c>
      <c r="B67">
        <v>76.2</v>
      </c>
      <c r="C67">
        <v>18.77</v>
      </c>
      <c r="D67">
        <v>9.86</v>
      </c>
      <c r="E67">
        <v>20.58</v>
      </c>
      <c r="F67">
        <v>5.28</v>
      </c>
    </row>
    <row r="68" spans="1:6" x14ac:dyDescent="0.2">
      <c r="A68">
        <v>17</v>
      </c>
      <c r="B68">
        <v>56.3</v>
      </c>
      <c r="C68">
        <v>19.66</v>
      </c>
      <c r="D68">
        <v>6.36</v>
      </c>
      <c r="E68">
        <v>21.26</v>
      </c>
      <c r="F68">
        <v>5.93</v>
      </c>
    </row>
    <row r="69" spans="1:6" x14ac:dyDescent="0.2">
      <c r="A69">
        <v>18</v>
      </c>
      <c r="B69">
        <v>79.3</v>
      </c>
      <c r="C69">
        <v>21.97</v>
      </c>
      <c r="D69">
        <v>18</v>
      </c>
      <c r="E69">
        <v>17.97</v>
      </c>
      <c r="F69">
        <v>8.91</v>
      </c>
    </row>
    <row r="70" spans="1:6" x14ac:dyDescent="0.2">
      <c r="A70">
        <v>19</v>
      </c>
      <c r="B70">
        <v>71.400000000000006</v>
      </c>
      <c r="C70">
        <v>21.5</v>
      </c>
      <c r="D70">
        <v>10.24</v>
      </c>
      <c r="E70">
        <v>18.489999999999998</v>
      </c>
      <c r="F70">
        <v>10.59</v>
      </c>
    </row>
    <row r="71" spans="1:6" x14ac:dyDescent="0.2">
      <c r="A71">
        <v>20</v>
      </c>
      <c r="B71">
        <v>81.8</v>
      </c>
      <c r="C71">
        <v>22.14</v>
      </c>
      <c r="D71">
        <v>9.73</v>
      </c>
      <c r="E71">
        <v>22.47</v>
      </c>
      <c r="F71">
        <v>10.17</v>
      </c>
    </row>
    <row r="72" spans="1:6" x14ac:dyDescent="0.2">
      <c r="A72">
        <v>21</v>
      </c>
      <c r="B72">
        <v>82.1</v>
      </c>
      <c r="C72">
        <v>23.74</v>
      </c>
      <c r="D72">
        <v>13.79</v>
      </c>
      <c r="E72">
        <v>20.77</v>
      </c>
      <c r="F72">
        <v>10.1</v>
      </c>
    </row>
    <row r="73" spans="1:6" x14ac:dyDescent="0.2">
      <c r="A73">
        <v>22</v>
      </c>
      <c r="B73">
        <v>75</v>
      </c>
      <c r="C73">
        <v>20.03</v>
      </c>
      <c r="D73">
        <v>17.82</v>
      </c>
      <c r="E73">
        <v>21.79</v>
      </c>
      <c r="F73">
        <v>7.04</v>
      </c>
    </row>
    <row r="74" spans="1:6" x14ac:dyDescent="0.2">
      <c r="A74">
        <v>23</v>
      </c>
      <c r="B74">
        <v>81</v>
      </c>
      <c r="C74">
        <v>24.61</v>
      </c>
      <c r="D74">
        <v>8.25</v>
      </c>
      <c r="E74">
        <v>21.11</v>
      </c>
      <c r="F74">
        <v>5.25</v>
      </c>
    </row>
    <row r="75" spans="1:6" x14ac:dyDescent="0.2">
      <c r="A75">
        <v>24</v>
      </c>
      <c r="B75">
        <v>78.900000000000006</v>
      </c>
      <c r="C75">
        <v>21.06</v>
      </c>
      <c r="D75">
        <v>7.41</v>
      </c>
      <c r="E75">
        <v>22.6</v>
      </c>
      <c r="F75">
        <v>8.1300000000000008</v>
      </c>
    </row>
    <row r="76" spans="1:6" x14ac:dyDescent="0.2">
      <c r="A76">
        <v>25</v>
      </c>
      <c r="B76">
        <v>65.599999999999994</v>
      </c>
      <c r="C76">
        <v>22.79</v>
      </c>
      <c r="D76">
        <v>8.83</v>
      </c>
      <c r="E76">
        <v>18.12</v>
      </c>
      <c r="F76">
        <v>5.68</v>
      </c>
    </row>
    <row r="77" spans="1:6" x14ac:dyDescent="0.2">
      <c r="A77">
        <v>1</v>
      </c>
      <c r="B77">
        <v>95.5</v>
      </c>
      <c r="C77">
        <v>28.16</v>
      </c>
      <c r="D77">
        <v>10</v>
      </c>
      <c r="E77">
        <v>18.59</v>
      </c>
      <c r="F77">
        <v>16.93</v>
      </c>
    </row>
    <row r="78" spans="1:6" x14ac:dyDescent="0.2">
      <c r="A78">
        <v>2</v>
      </c>
      <c r="B78">
        <v>71.400000000000006</v>
      </c>
      <c r="C78">
        <v>23.4</v>
      </c>
      <c r="D78">
        <v>11.78</v>
      </c>
      <c r="E78">
        <v>25.79</v>
      </c>
      <c r="F78">
        <v>7</v>
      </c>
    </row>
    <row r="79" spans="1:6" x14ac:dyDescent="0.2">
      <c r="A79">
        <v>3</v>
      </c>
      <c r="B79">
        <v>86.4</v>
      </c>
      <c r="C79">
        <v>19.170000000000002</v>
      </c>
      <c r="D79">
        <v>9.81</v>
      </c>
      <c r="E79">
        <v>21.18</v>
      </c>
      <c r="F79">
        <v>6.67</v>
      </c>
    </row>
    <row r="80" spans="1:6" x14ac:dyDescent="0.2">
      <c r="A80">
        <v>4</v>
      </c>
      <c r="B80">
        <v>83.3</v>
      </c>
      <c r="C80">
        <v>19.690000000000001</v>
      </c>
      <c r="D80">
        <v>3.77</v>
      </c>
      <c r="E80">
        <v>22.45</v>
      </c>
      <c r="F80">
        <v>8.25</v>
      </c>
    </row>
    <row r="81" spans="1:6" x14ac:dyDescent="0.2">
      <c r="A81">
        <v>5</v>
      </c>
      <c r="B81">
        <v>72</v>
      </c>
      <c r="C81">
        <v>23.07</v>
      </c>
      <c r="D81">
        <v>6.72</v>
      </c>
      <c r="E81">
        <v>22.37</v>
      </c>
      <c r="F81">
        <v>8.5</v>
      </c>
    </row>
    <row r="82" spans="1:6" x14ac:dyDescent="0.2">
      <c r="A82">
        <v>6</v>
      </c>
      <c r="B82">
        <v>88.9</v>
      </c>
      <c r="C82">
        <v>22.38</v>
      </c>
      <c r="D82">
        <v>14.17</v>
      </c>
      <c r="E82">
        <v>23.28</v>
      </c>
      <c r="F82">
        <v>15.6</v>
      </c>
    </row>
    <row r="83" spans="1:6" x14ac:dyDescent="0.2">
      <c r="A83">
        <v>7</v>
      </c>
      <c r="B83">
        <v>65</v>
      </c>
      <c r="C83">
        <v>23.74</v>
      </c>
      <c r="D83">
        <v>14.24</v>
      </c>
      <c r="E83">
        <v>20.59</v>
      </c>
      <c r="F83">
        <v>4.46</v>
      </c>
    </row>
    <row r="84" spans="1:6" x14ac:dyDescent="0.2">
      <c r="A84">
        <v>8</v>
      </c>
      <c r="B84">
        <v>87.5</v>
      </c>
      <c r="C84">
        <v>18.79</v>
      </c>
      <c r="D84">
        <v>8.34</v>
      </c>
      <c r="E84">
        <v>19.440000000000001</v>
      </c>
      <c r="F84">
        <v>5.44</v>
      </c>
    </row>
    <row r="85" spans="1:6" x14ac:dyDescent="0.2">
      <c r="A85">
        <v>9</v>
      </c>
      <c r="B85">
        <v>71.400000000000006</v>
      </c>
      <c r="C85">
        <v>21.69</v>
      </c>
      <c r="D85">
        <v>12.39</v>
      </c>
      <c r="E85">
        <v>21.65</v>
      </c>
      <c r="F85">
        <v>3.25</v>
      </c>
    </row>
    <row r="86" spans="1:6" x14ac:dyDescent="0.2">
      <c r="A86">
        <v>10</v>
      </c>
      <c r="B86">
        <v>87.5</v>
      </c>
      <c r="C86">
        <v>22.51</v>
      </c>
      <c r="D86">
        <v>10.78</v>
      </c>
      <c r="E86">
        <v>20.309999999999999</v>
      </c>
      <c r="F86">
        <v>5.0599999999999996</v>
      </c>
    </row>
    <row r="87" spans="1:6" x14ac:dyDescent="0.2">
      <c r="A87">
        <v>11</v>
      </c>
      <c r="B87">
        <v>76.900000000000006</v>
      </c>
      <c r="C87">
        <v>27.4</v>
      </c>
      <c r="D87">
        <v>8.17</v>
      </c>
      <c r="E87">
        <v>18.12</v>
      </c>
      <c r="F87">
        <v>7.14</v>
      </c>
    </row>
    <row r="88" spans="1:6" x14ac:dyDescent="0.2">
      <c r="A88">
        <v>12</v>
      </c>
      <c r="B88">
        <v>90</v>
      </c>
      <c r="C88">
        <v>22.93</v>
      </c>
      <c r="D88">
        <v>8.1</v>
      </c>
      <c r="E88">
        <v>18.39</v>
      </c>
      <c r="F88">
        <v>16.43</v>
      </c>
    </row>
    <row r="89" spans="1:6" x14ac:dyDescent="0.2">
      <c r="A89">
        <v>13</v>
      </c>
      <c r="B89">
        <v>62.5</v>
      </c>
      <c r="C89">
        <v>22</v>
      </c>
      <c r="D89">
        <v>8.5</v>
      </c>
      <c r="E89">
        <v>20.010000000000002</v>
      </c>
      <c r="F89">
        <v>16.829999999999998</v>
      </c>
    </row>
    <row r="90" spans="1:6" x14ac:dyDescent="0.2">
      <c r="A90">
        <v>14</v>
      </c>
      <c r="B90">
        <v>92.9</v>
      </c>
      <c r="C90">
        <v>25.47</v>
      </c>
      <c r="D90">
        <v>7.48</v>
      </c>
      <c r="E90">
        <v>23.15</v>
      </c>
      <c r="F90">
        <v>3.13</v>
      </c>
    </row>
    <row r="91" spans="1:6" x14ac:dyDescent="0.2">
      <c r="A91">
        <v>15</v>
      </c>
      <c r="B91">
        <v>80</v>
      </c>
      <c r="C91">
        <v>22.71</v>
      </c>
      <c r="D91">
        <v>7.63</v>
      </c>
      <c r="E91">
        <v>22.65</v>
      </c>
      <c r="F91">
        <v>1.1499999999999999</v>
      </c>
    </row>
    <row r="92" spans="1:6" x14ac:dyDescent="0.2">
      <c r="A92">
        <v>16</v>
      </c>
      <c r="B92">
        <v>66.7</v>
      </c>
      <c r="C92">
        <v>24.85</v>
      </c>
      <c r="D92">
        <v>8.92</v>
      </c>
      <c r="E92">
        <v>18.670000000000002</v>
      </c>
      <c r="F92">
        <v>3.94</v>
      </c>
    </row>
    <row r="93" spans="1:6" x14ac:dyDescent="0.2">
      <c r="A93">
        <v>17</v>
      </c>
      <c r="B93">
        <v>61.1</v>
      </c>
      <c r="C93">
        <v>22.92</v>
      </c>
      <c r="D93">
        <v>13.43</v>
      </c>
      <c r="E93">
        <v>18.739999999999998</v>
      </c>
      <c r="F93">
        <v>10.47</v>
      </c>
    </row>
    <row r="94" spans="1:6" x14ac:dyDescent="0.2">
      <c r="A94">
        <v>18</v>
      </c>
      <c r="B94">
        <v>76.900000000000006</v>
      </c>
      <c r="C94">
        <v>21.08</v>
      </c>
      <c r="D94">
        <v>7.35</v>
      </c>
      <c r="E94">
        <v>18.27</v>
      </c>
      <c r="F94">
        <v>10.69</v>
      </c>
    </row>
    <row r="95" spans="1:6" x14ac:dyDescent="0.2">
      <c r="A95">
        <v>19</v>
      </c>
      <c r="B95">
        <v>68.2</v>
      </c>
      <c r="C95">
        <v>14.42</v>
      </c>
      <c r="D95">
        <v>13.71</v>
      </c>
      <c r="E95">
        <v>19.88</v>
      </c>
      <c r="F95">
        <v>7.47</v>
      </c>
    </row>
    <row r="96" spans="1:6" x14ac:dyDescent="0.2">
      <c r="A96">
        <v>20</v>
      </c>
      <c r="B96">
        <v>74.099999999999994</v>
      </c>
      <c r="C96">
        <v>23.76</v>
      </c>
      <c r="D96">
        <v>7.07</v>
      </c>
      <c r="E96">
        <v>25.68</v>
      </c>
      <c r="F96">
        <v>9.4700000000000006</v>
      </c>
    </row>
    <row r="97" spans="1:6" x14ac:dyDescent="0.2">
      <c r="A97">
        <v>21</v>
      </c>
      <c r="B97">
        <v>83.3</v>
      </c>
      <c r="C97">
        <v>21.56</v>
      </c>
      <c r="D97">
        <v>5.72</v>
      </c>
      <c r="E97">
        <v>21.33</v>
      </c>
      <c r="F97">
        <v>10.050000000000001</v>
      </c>
    </row>
    <row r="98" spans="1:6" x14ac:dyDescent="0.2">
      <c r="A98">
        <v>22</v>
      </c>
      <c r="B98">
        <v>66.7</v>
      </c>
      <c r="C98">
        <v>23.1</v>
      </c>
      <c r="D98">
        <v>7.43</v>
      </c>
      <c r="E98">
        <v>19.309999999999999</v>
      </c>
      <c r="F98">
        <v>7.23</v>
      </c>
    </row>
    <row r="99" spans="1:6" x14ac:dyDescent="0.2">
      <c r="A99">
        <v>23</v>
      </c>
      <c r="B99">
        <v>68.400000000000006</v>
      </c>
      <c r="C99">
        <v>24.72</v>
      </c>
      <c r="D99">
        <v>14.59</v>
      </c>
      <c r="E99">
        <v>20.61</v>
      </c>
      <c r="F99">
        <v>10.85</v>
      </c>
    </row>
    <row r="100" spans="1:6" x14ac:dyDescent="0.2">
      <c r="A100">
        <v>24</v>
      </c>
      <c r="B100">
        <v>78.900000000000006</v>
      </c>
      <c r="C100">
        <v>19.38</v>
      </c>
      <c r="D100">
        <v>3.83</v>
      </c>
      <c r="E100">
        <v>18.399999999999999</v>
      </c>
      <c r="F100">
        <v>6.61</v>
      </c>
    </row>
    <row r="101" spans="1:6" x14ac:dyDescent="0.2">
      <c r="A101">
        <v>25</v>
      </c>
      <c r="B101">
        <v>93.8</v>
      </c>
      <c r="C101">
        <v>23.26</v>
      </c>
      <c r="D101">
        <v>5.21</v>
      </c>
      <c r="E101">
        <v>24.26</v>
      </c>
      <c r="F101">
        <v>5.37</v>
      </c>
    </row>
    <row r="102" spans="1:6" x14ac:dyDescent="0.2">
      <c r="A102">
        <v>1</v>
      </c>
      <c r="B102">
        <v>75</v>
      </c>
      <c r="C102">
        <v>23.95</v>
      </c>
      <c r="D102">
        <v>9.91</v>
      </c>
      <c r="E102">
        <v>21.57</v>
      </c>
      <c r="F102">
        <v>6.5</v>
      </c>
    </row>
    <row r="103" spans="1:6" x14ac:dyDescent="0.2">
      <c r="A103">
        <v>2</v>
      </c>
      <c r="B103">
        <v>50</v>
      </c>
      <c r="C103">
        <v>19.420000000000002</v>
      </c>
      <c r="D103">
        <v>13.5</v>
      </c>
      <c r="E103">
        <v>21.66</v>
      </c>
      <c r="F103">
        <v>3.24</v>
      </c>
    </row>
    <row r="104" spans="1:6" x14ac:dyDescent="0.2">
      <c r="A104">
        <v>3</v>
      </c>
      <c r="B104">
        <v>72.7</v>
      </c>
      <c r="C104">
        <v>19.93</v>
      </c>
      <c r="D104">
        <v>10.37</v>
      </c>
      <c r="E104">
        <v>20.77</v>
      </c>
      <c r="F104">
        <v>6.4</v>
      </c>
    </row>
    <row r="105" spans="1:6" x14ac:dyDescent="0.2">
      <c r="A105">
        <v>4</v>
      </c>
      <c r="B105">
        <v>75</v>
      </c>
      <c r="C105">
        <v>19.600000000000001</v>
      </c>
      <c r="D105">
        <v>2.19</v>
      </c>
      <c r="E105">
        <v>22.13</v>
      </c>
      <c r="F105">
        <v>6.73</v>
      </c>
    </row>
    <row r="106" spans="1:6" x14ac:dyDescent="0.2">
      <c r="A106">
        <v>5</v>
      </c>
      <c r="B106">
        <v>57.1</v>
      </c>
      <c r="C106">
        <v>22.16</v>
      </c>
      <c r="D106">
        <v>7.52</v>
      </c>
      <c r="E106">
        <v>20.2</v>
      </c>
      <c r="F106">
        <v>11.14</v>
      </c>
    </row>
    <row r="107" spans="1:6" x14ac:dyDescent="0.2">
      <c r="A107">
        <v>6</v>
      </c>
      <c r="B107">
        <v>59.1</v>
      </c>
      <c r="C107">
        <v>19.91</v>
      </c>
      <c r="D107">
        <v>13.29</v>
      </c>
      <c r="E107">
        <v>18.63</v>
      </c>
      <c r="F107">
        <v>5.38</v>
      </c>
    </row>
    <row r="108" spans="1:6" x14ac:dyDescent="0.2">
      <c r="A108">
        <v>7</v>
      </c>
      <c r="B108">
        <v>63</v>
      </c>
      <c r="C108">
        <v>22.71</v>
      </c>
      <c r="D108">
        <v>11.96</v>
      </c>
      <c r="E108">
        <v>18.260000000000002</v>
      </c>
      <c r="F108">
        <v>6.77</v>
      </c>
    </row>
    <row r="109" spans="1:6" x14ac:dyDescent="0.2">
      <c r="A109">
        <v>8</v>
      </c>
      <c r="B109">
        <v>64.7</v>
      </c>
      <c r="C109">
        <v>21.65</v>
      </c>
      <c r="D109">
        <v>14.23</v>
      </c>
      <c r="E109">
        <v>23.24</v>
      </c>
      <c r="F109">
        <v>4.7300000000000004</v>
      </c>
    </row>
    <row r="110" spans="1:6" x14ac:dyDescent="0.2">
      <c r="A110">
        <v>9</v>
      </c>
      <c r="B110">
        <v>82.8</v>
      </c>
      <c r="C110">
        <v>23.19</v>
      </c>
      <c r="D110">
        <v>13.83</v>
      </c>
      <c r="E110">
        <v>18</v>
      </c>
      <c r="F110">
        <v>7.32</v>
      </c>
    </row>
    <row r="111" spans="1:6" x14ac:dyDescent="0.2">
      <c r="A111">
        <v>10</v>
      </c>
      <c r="B111">
        <v>83.3</v>
      </c>
      <c r="C111">
        <v>24.65</v>
      </c>
      <c r="D111">
        <v>14.49</v>
      </c>
      <c r="E111">
        <v>16.62</v>
      </c>
      <c r="F111">
        <v>10.88</v>
      </c>
    </row>
    <row r="112" spans="1:6" x14ac:dyDescent="0.2">
      <c r="A112">
        <v>11</v>
      </c>
      <c r="B112">
        <v>86.4</v>
      </c>
      <c r="C112">
        <v>20.49</v>
      </c>
      <c r="D112">
        <v>4.3</v>
      </c>
      <c r="E112">
        <v>23.89</v>
      </c>
      <c r="F112">
        <v>6.5</v>
      </c>
    </row>
    <row r="113" spans="1:6" x14ac:dyDescent="0.2">
      <c r="A113">
        <v>12</v>
      </c>
      <c r="B113">
        <v>82.6</v>
      </c>
      <c r="C113">
        <v>28.61</v>
      </c>
      <c r="D113">
        <v>18.95</v>
      </c>
      <c r="E113">
        <v>24.19</v>
      </c>
      <c r="F113">
        <v>2</v>
      </c>
    </row>
    <row r="114" spans="1:6" x14ac:dyDescent="0.2">
      <c r="A114">
        <v>13</v>
      </c>
      <c r="B114">
        <v>78.3</v>
      </c>
      <c r="C114">
        <v>17.309999999999999</v>
      </c>
      <c r="D114">
        <v>4.25</v>
      </c>
      <c r="E114">
        <v>24.65</v>
      </c>
      <c r="F114">
        <v>8.14</v>
      </c>
    </row>
    <row r="115" spans="1:6" x14ac:dyDescent="0.2">
      <c r="A115">
        <v>14</v>
      </c>
      <c r="B115">
        <v>72.400000000000006</v>
      </c>
      <c r="C115">
        <v>24</v>
      </c>
      <c r="D115">
        <v>9.08</v>
      </c>
      <c r="E115">
        <v>18.059999999999999</v>
      </c>
      <c r="F115">
        <v>3.47</v>
      </c>
    </row>
    <row r="116" spans="1:6" x14ac:dyDescent="0.2">
      <c r="A116">
        <v>15</v>
      </c>
      <c r="B116">
        <v>81</v>
      </c>
      <c r="C116">
        <v>25.83</v>
      </c>
      <c r="D116">
        <v>14.33</v>
      </c>
      <c r="E116">
        <v>18.25</v>
      </c>
      <c r="F116">
        <v>7.25</v>
      </c>
    </row>
    <row r="117" spans="1:6" x14ac:dyDescent="0.2">
      <c r="A117">
        <v>16</v>
      </c>
      <c r="B117">
        <v>70</v>
      </c>
      <c r="C117">
        <v>21.47</v>
      </c>
      <c r="D117">
        <v>10.27</v>
      </c>
      <c r="E117">
        <v>21.69</v>
      </c>
      <c r="F117">
        <v>8.2899999999999991</v>
      </c>
    </row>
    <row r="118" spans="1:6" x14ac:dyDescent="0.2">
      <c r="A118">
        <v>17</v>
      </c>
      <c r="B118">
        <v>95.2</v>
      </c>
      <c r="C118">
        <v>20.87</v>
      </c>
      <c r="D118">
        <v>16.55</v>
      </c>
      <c r="E118">
        <v>19.71</v>
      </c>
      <c r="F118">
        <v>4.8600000000000003</v>
      </c>
    </row>
    <row r="119" spans="1:6" x14ac:dyDescent="0.2">
      <c r="A119">
        <v>18</v>
      </c>
      <c r="B119">
        <v>75</v>
      </c>
      <c r="C119">
        <v>26</v>
      </c>
      <c r="D119">
        <v>10.41</v>
      </c>
      <c r="E119">
        <v>20.47</v>
      </c>
      <c r="F119">
        <v>5.85</v>
      </c>
    </row>
    <row r="120" spans="1:6" x14ac:dyDescent="0.2">
      <c r="A120">
        <v>19</v>
      </c>
      <c r="B120">
        <v>57.9</v>
      </c>
      <c r="C120">
        <v>23.16</v>
      </c>
      <c r="D120">
        <v>8.7899999999999991</v>
      </c>
      <c r="E120">
        <v>22.29</v>
      </c>
      <c r="F120">
        <v>10.119999999999999</v>
      </c>
    </row>
    <row r="121" spans="1:6" x14ac:dyDescent="0.2">
      <c r="A121">
        <v>20</v>
      </c>
      <c r="B121">
        <v>88.9</v>
      </c>
      <c r="C121">
        <v>18.34</v>
      </c>
      <c r="D121">
        <v>6.15</v>
      </c>
      <c r="E121">
        <v>18.71</v>
      </c>
      <c r="F121">
        <v>7.07</v>
      </c>
    </row>
    <row r="122" spans="1:6" x14ac:dyDescent="0.2">
      <c r="A122">
        <v>21</v>
      </c>
      <c r="B122">
        <v>94.7</v>
      </c>
      <c r="C122">
        <v>25.21</v>
      </c>
      <c r="D122">
        <v>3.88</v>
      </c>
      <c r="E122">
        <v>20.5</v>
      </c>
      <c r="F122">
        <v>9.4</v>
      </c>
    </row>
    <row r="123" spans="1:6" x14ac:dyDescent="0.2">
      <c r="A123">
        <v>22</v>
      </c>
      <c r="B123">
        <v>78.900000000000006</v>
      </c>
      <c r="C123">
        <v>23.21</v>
      </c>
      <c r="D123">
        <v>8.2200000000000006</v>
      </c>
      <c r="E123">
        <v>17.41</v>
      </c>
      <c r="F123">
        <v>2</v>
      </c>
    </row>
    <row r="124" spans="1:6" x14ac:dyDescent="0.2">
      <c r="A124">
        <v>23</v>
      </c>
      <c r="B124">
        <v>83.3</v>
      </c>
      <c r="C124">
        <v>21.85</v>
      </c>
      <c r="D124">
        <v>10.46</v>
      </c>
      <c r="E124">
        <v>19.809999999999999</v>
      </c>
      <c r="F124">
        <v>10.7</v>
      </c>
    </row>
    <row r="125" spans="1:6" x14ac:dyDescent="0.2">
      <c r="A125">
        <v>24</v>
      </c>
      <c r="B125">
        <v>85.7</v>
      </c>
      <c r="C125">
        <v>22.05</v>
      </c>
      <c r="D125">
        <v>8.81</v>
      </c>
      <c r="E125">
        <v>23.25</v>
      </c>
      <c r="F125">
        <v>10.15</v>
      </c>
    </row>
    <row r="126" spans="1:6" x14ac:dyDescent="0.2">
      <c r="A126">
        <v>25</v>
      </c>
      <c r="B126">
        <v>74.099999999999994</v>
      </c>
      <c r="C126">
        <v>21.62</v>
      </c>
      <c r="D126">
        <v>9.31</v>
      </c>
      <c r="E126">
        <v>20.61</v>
      </c>
      <c r="F126">
        <v>11.83</v>
      </c>
    </row>
    <row r="127" spans="1:6" x14ac:dyDescent="0.2">
      <c r="A127">
        <v>1</v>
      </c>
      <c r="B127">
        <v>63.9</v>
      </c>
      <c r="C127">
        <v>24.09</v>
      </c>
      <c r="D127">
        <v>13</v>
      </c>
      <c r="E127">
        <v>21.68</v>
      </c>
      <c r="F127">
        <v>4.6399999999999997</v>
      </c>
    </row>
    <row r="128" spans="1:6" x14ac:dyDescent="0.2">
      <c r="A128">
        <v>2</v>
      </c>
      <c r="B128">
        <v>88.9</v>
      </c>
      <c r="C128">
        <v>21.62</v>
      </c>
      <c r="D128">
        <v>13.44</v>
      </c>
      <c r="E128">
        <v>20</v>
      </c>
      <c r="F128">
        <v>3.65</v>
      </c>
    </row>
    <row r="129" spans="1:6" x14ac:dyDescent="0.2">
      <c r="A129">
        <v>3</v>
      </c>
      <c r="B129">
        <v>88</v>
      </c>
      <c r="C129">
        <v>22.25</v>
      </c>
      <c r="D129">
        <v>3.43</v>
      </c>
      <c r="E129">
        <v>24.21</v>
      </c>
      <c r="F129">
        <v>11.13</v>
      </c>
    </row>
    <row r="130" spans="1:6" x14ac:dyDescent="0.2">
      <c r="A130">
        <v>4</v>
      </c>
      <c r="B130">
        <v>64.3</v>
      </c>
      <c r="C130">
        <v>24.48</v>
      </c>
      <c r="D130">
        <v>9.5500000000000007</v>
      </c>
      <c r="E130">
        <v>19.87</v>
      </c>
      <c r="F130">
        <v>7.82</v>
      </c>
    </row>
    <row r="131" spans="1:6" x14ac:dyDescent="0.2">
      <c r="A131">
        <v>5</v>
      </c>
      <c r="B131">
        <v>77.8</v>
      </c>
      <c r="C131">
        <v>23.19</v>
      </c>
      <c r="D131">
        <v>13.55</v>
      </c>
      <c r="E131">
        <v>22.25</v>
      </c>
      <c r="F131">
        <v>13.96</v>
      </c>
    </row>
    <row r="132" spans="1:6" x14ac:dyDescent="0.2">
      <c r="A132">
        <v>6</v>
      </c>
      <c r="B132">
        <v>88.2</v>
      </c>
      <c r="C132">
        <v>20.71</v>
      </c>
      <c r="D132">
        <v>10.27</v>
      </c>
      <c r="E132">
        <v>23.5</v>
      </c>
      <c r="F132">
        <v>10.4</v>
      </c>
    </row>
    <row r="133" spans="1:6" x14ac:dyDescent="0.2">
      <c r="A133">
        <v>7</v>
      </c>
      <c r="B133">
        <v>70.8</v>
      </c>
      <c r="C133">
        <v>22.55</v>
      </c>
      <c r="D133">
        <v>11.32</v>
      </c>
      <c r="E133">
        <v>21.31</v>
      </c>
      <c r="F133">
        <v>6.36</v>
      </c>
    </row>
    <row r="134" spans="1:6" x14ac:dyDescent="0.2">
      <c r="A134">
        <v>8</v>
      </c>
      <c r="B134">
        <v>66.7</v>
      </c>
      <c r="C134">
        <v>23.35</v>
      </c>
      <c r="D134">
        <v>11.88</v>
      </c>
      <c r="E134">
        <v>19.04</v>
      </c>
      <c r="F134">
        <v>9</v>
      </c>
    </row>
    <row r="135" spans="1:6" x14ac:dyDescent="0.2">
      <c r="A135">
        <v>9</v>
      </c>
      <c r="B135">
        <v>63.6</v>
      </c>
      <c r="C135">
        <v>21.84</v>
      </c>
      <c r="D135">
        <v>7.8</v>
      </c>
      <c r="E135">
        <v>21.98</v>
      </c>
      <c r="F135">
        <v>6.94</v>
      </c>
    </row>
    <row r="136" spans="1:6" x14ac:dyDescent="0.2">
      <c r="A136">
        <v>10</v>
      </c>
      <c r="B136">
        <v>72.7</v>
      </c>
      <c r="C136">
        <v>21.88</v>
      </c>
      <c r="D136">
        <v>15.09</v>
      </c>
      <c r="E136">
        <v>22.81</v>
      </c>
      <c r="F136">
        <v>7.67</v>
      </c>
    </row>
    <row r="137" spans="1:6" x14ac:dyDescent="0.2">
      <c r="A137">
        <v>11</v>
      </c>
      <c r="B137">
        <v>75</v>
      </c>
      <c r="C137">
        <v>23.68</v>
      </c>
      <c r="D137">
        <v>10.55</v>
      </c>
      <c r="E137">
        <v>22.95</v>
      </c>
      <c r="F137">
        <v>16.23</v>
      </c>
    </row>
    <row r="138" spans="1:6" x14ac:dyDescent="0.2">
      <c r="A138">
        <v>12</v>
      </c>
      <c r="B138">
        <v>76.5</v>
      </c>
      <c r="C138">
        <v>18.43</v>
      </c>
      <c r="D138">
        <v>9</v>
      </c>
      <c r="E138">
        <v>21.44</v>
      </c>
      <c r="F138">
        <v>9.19</v>
      </c>
    </row>
    <row r="139" spans="1:6" x14ac:dyDescent="0.2">
      <c r="A139">
        <v>13</v>
      </c>
      <c r="B139">
        <v>58.8</v>
      </c>
      <c r="C139">
        <v>19.98</v>
      </c>
      <c r="D139">
        <v>8</v>
      </c>
      <c r="E139">
        <v>21.78</v>
      </c>
      <c r="F139">
        <v>11.4</v>
      </c>
    </row>
    <row r="140" spans="1:6" x14ac:dyDescent="0.2">
      <c r="A140">
        <v>14</v>
      </c>
      <c r="B140">
        <v>82.4</v>
      </c>
      <c r="C140">
        <v>28.23</v>
      </c>
      <c r="D140">
        <v>9.9700000000000006</v>
      </c>
      <c r="E140">
        <v>20.99</v>
      </c>
      <c r="F140">
        <v>7.44</v>
      </c>
    </row>
    <row r="141" spans="1:6" x14ac:dyDescent="0.2">
      <c r="A141">
        <v>15</v>
      </c>
      <c r="B141">
        <v>73.900000000000006</v>
      </c>
      <c r="C141">
        <v>25.2</v>
      </c>
      <c r="D141">
        <v>8.42</v>
      </c>
      <c r="E141">
        <v>20.03</v>
      </c>
      <c r="F141">
        <v>10.050000000000001</v>
      </c>
    </row>
    <row r="142" spans="1:6" x14ac:dyDescent="0.2">
      <c r="A142">
        <v>16</v>
      </c>
      <c r="B142">
        <v>89.3</v>
      </c>
      <c r="C142">
        <v>21.61</v>
      </c>
      <c r="D142">
        <v>8.67</v>
      </c>
      <c r="E142">
        <v>19.850000000000001</v>
      </c>
      <c r="F142">
        <v>11.58</v>
      </c>
    </row>
    <row r="143" spans="1:6" x14ac:dyDescent="0.2">
      <c r="A143">
        <v>17</v>
      </c>
      <c r="B143">
        <v>72.7</v>
      </c>
      <c r="C143">
        <v>23.67</v>
      </c>
      <c r="D143">
        <v>11.76</v>
      </c>
      <c r="E143">
        <v>23.82</v>
      </c>
      <c r="F143">
        <v>10.56</v>
      </c>
    </row>
    <row r="144" spans="1:6" x14ac:dyDescent="0.2">
      <c r="A144">
        <v>18</v>
      </c>
      <c r="B144">
        <v>76.5</v>
      </c>
      <c r="C144">
        <v>22.59</v>
      </c>
      <c r="D144">
        <v>13.21</v>
      </c>
      <c r="E144">
        <v>21.34</v>
      </c>
      <c r="F144">
        <v>10.55</v>
      </c>
    </row>
    <row r="145" spans="1:6" x14ac:dyDescent="0.2">
      <c r="A145">
        <v>19</v>
      </c>
      <c r="B145">
        <v>59.5</v>
      </c>
      <c r="C145">
        <v>21.56</v>
      </c>
      <c r="D145">
        <v>9.9600000000000009</v>
      </c>
      <c r="E145">
        <v>23.05</v>
      </c>
      <c r="F145">
        <v>14.92</v>
      </c>
    </row>
    <row r="146" spans="1:6" x14ac:dyDescent="0.2">
      <c r="A146">
        <v>20</v>
      </c>
      <c r="B146">
        <v>69.400000000000006</v>
      </c>
      <c r="C146">
        <v>22.58</v>
      </c>
      <c r="D146">
        <v>12.8</v>
      </c>
      <c r="E146">
        <v>21.48</v>
      </c>
      <c r="F146">
        <v>6.13</v>
      </c>
    </row>
    <row r="147" spans="1:6" x14ac:dyDescent="0.2">
      <c r="A147">
        <v>21</v>
      </c>
      <c r="B147">
        <v>72</v>
      </c>
      <c r="C147">
        <v>20.02</v>
      </c>
      <c r="D147">
        <v>10.77</v>
      </c>
      <c r="E147">
        <v>20.67</v>
      </c>
      <c r="F147">
        <v>4.12</v>
      </c>
    </row>
    <row r="148" spans="1:6" x14ac:dyDescent="0.2">
      <c r="A148">
        <v>22</v>
      </c>
      <c r="B148">
        <v>81.5</v>
      </c>
      <c r="C148">
        <v>22.3</v>
      </c>
      <c r="D148">
        <v>6.07</v>
      </c>
      <c r="E148">
        <v>20.03</v>
      </c>
      <c r="F148">
        <v>9.33</v>
      </c>
    </row>
    <row r="149" spans="1:6" x14ac:dyDescent="0.2">
      <c r="A149">
        <v>23</v>
      </c>
      <c r="B149">
        <v>81.5</v>
      </c>
      <c r="C149">
        <v>24.84</v>
      </c>
      <c r="D149">
        <v>10.43</v>
      </c>
      <c r="E149">
        <v>19</v>
      </c>
      <c r="F149">
        <v>8.9499999999999993</v>
      </c>
    </row>
    <row r="150" spans="1:6" x14ac:dyDescent="0.2">
      <c r="A150">
        <v>24</v>
      </c>
      <c r="B150">
        <v>82.6</v>
      </c>
      <c r="C150">
        <v>25.47</v>
      </c>
      <c r="D150">
        <v>7.42</v>
      </c>
      <c r="E150">
        <v>24.04</v>
      </c>
      <c r="F150">
        <v>11.78</v>
      </c>
    </row>
    <row r="151" spans="1:6" x14ac:dyDescent="0.2">
      <c r="A151">
        <v>25</v>
      </c>
      <c r="B151">
        <v>68</v>
      </c>
      <c r="C151">
        <v>24.1</v>
      </c>
      <c r="D151">
        <v>6.89</v>
      </c>
      <c r="E151">
        <v>18.899999999999999</v>
      </c>
      <c r="F151">
        <v>6.86</v>
      </c>
    </row>
    <row r="152" spans="1:6" x14ac:dyDescent="0.2">
      <c r="A152">
        <v>1</v>
      </c>
      <c r="B152">
        <v>77.3</v>
      </c>
      <c r="C152">
        <v>23.52</v>
      </c>
      <c r="D152">
        <v>6.18</v>
      </c>
      <c r="E152">
        <v>19.690000000000001</v>
      </c>
      <c r="F152">
        <v>4.55</v>
      </c>
    </row>
    <row r="153" spans="1:6" x14ac:dyDescent="0.2">
      <c r="A153">
        <v>2</v>
      </c>
      <c r="B153">
        <v>84.6</v>
      </c>
      <c r="C153">
        <v>25.9</v>
      </c>
      <c r="D153">
        <v>14.81</v>
      </c>
      <c r="E153">
        <v>20.329999999999998</v>
      </c>
      <c r="F153">
        <v>7.12</v>
      </c>
    </row>
    <row r="154" spans="1:6" x14ac:dyDescent="0.2">
      <c r="A154">
        <v>3</v>
      </c>
      <c r="B154">
        <v>76.5</v>
      </c>
      <c r="C154">
        <v>21.39</v>
      </c>
      <c r="D154">
        <v>16.98</v>
      </c>
      <c r="E154">
        <v>19.28</v>
      </c>
      <c r="F154">
        <v>9.17</v>
      </c>
    </row>
    <row r="155" spans="1:6" x14ac:dyDescent="0.2">
      <c r="A155">
        <v>4</v>
      </c>
      <c r="B155">
        <v>89.5</v>
      </c>
      <c r="C155">
        <v>21.77</v>
      </c>
      <c r="D155">
        <v>10.039999999999999</v>
      </c>
      <c r="E155">
        <v>21.87</v>
      </c>
      <c r="F155">
        <v>13</v>
      </c>
    </row>
    <row r="156" spans="1:6" x14ac:dyDescent="0.2">
      <c r="A156">
        <v>5</v>
      </c>
      <c r="B156">
        <v>76.900000000000006</v>
      </c>
      <c r="C156">
        <v>26.38</v>
      </c>
      <c r="D156">
        <v>9.6300000000000008</v>
      </c>
      <c r="E156">
        <v>21.44</v>
      </c>
      <c r="F156">
        <v>10.5</v>
      </c>
    </row>
    <row r="157" spans="1:6" x14ac:dyDescent="0.2">
      <c r="A157">
        <v>6</v>
      </c>
      <c r="B157">
        <v>79.3</v>
      </c>
      <c r="C157">
        <v>22.26</v>
      </c>
      <c r="D157">
        <v>8.5</v>
      </c>
      <c r="E157">
        <v>21.54</v>
      </c>
      <c r="F157">
        <v>3.04</v>
      </c>
    </row>
    <row r="158" spans="1:6" x14ac:dyDescent="0.2">
      <c r="A158">
        <v>7</v>
      </c>
      <c r="B158">
        <v>77.3</v>
      </c>
      <c r="C158">
        <v>22.37</v>
      </c>
      <c r="D158">
        <v>10.63</v>
      </c>
      <c r="E158">
        <v>24.21</v>
      </c>
      <c r="F158">
        <v>12.57</v>
      </c>
    </row>
    <row r="159" spans="1:6" x14ac:dyDescent="0.2">
      <c r="A159">
        <v>8</v>
      </c>
      <c r="B159">
        <v>82.4</v>
      </c>
      <c r="C159">
        <v>25.87</v>
      </c>
      <c r="D159">
        <v>13.5</v>
      </c>
      <c r="E159">
        <v>21.19</v>
      </c>
      <c r="F159">
        <v>4.92</v>
      </c>
    </row>
    <row r="160" spans="1:6" x14ac:dyDescent="0.2">
      <c r="A160">
        <v>9</v>
      </c>
      <c r="B160">
        <v>66.7</v>
      </c>
      <c r="C160">
        <v>23.55</v>
      </c>
      <c r="D160">
        <v>12.65</v>
      </c>
      <c r="E160">
        <v>21.73</v>
      </c>
      <c r="F160">
        <v>9.69</v>
      </c>
    </row>
    <row r="161" spans="1:6" x14ac:dyDescent="0.2">
      <c r="A161">
        <v>10</v>
      </c>
      <c r="B161">
        <v>76</v>
      </c>
      <c r="C161">
        <v>24.05</v>
      </c>
      <c r="D161">
        <v>12.46</v>
      </c>
      <c r="E161">
        <v>21.42</v>
      </c>
      <c r="F161">
        <v>6.4</v>
      </c>
    </row>
    <row r="162" spans="1:6" x14ac:dyDescent="0.2">
      <c r="A162">
        <v>11</v>
      </c>
      <c r="B162">
        <v>70.599999999999994</v>
      </c>
      <c r="C162">
        <v>22.42</v>
      </c>
      <c r="D162">
        <v>9.76</v>
      </c>
      <c r="E162">
        <v>25.96</v>
      </c>
      <c r="F162">
        <v>8.14</v>
      </c>
    </row>
    <row r="163" spans="1:6" x14ac:dyDescent="0.2">
      <c r="A163">
        <v>12</v>
      </c>
      <c r="B163">
        <v>84.2</v>
      </c>
      <c r="C163">
        <v>19.39</v>
      </c>
      <c r="D163">
        <v>15.55</v>
      </c>
      <c r="E163">
        <v>25.63</v>
      </c>
      <c r="F163">
        <v>5.41</v>
      </c>
    </row>
    <row r="164" spans="1:6" x14ac:dyDescent="0.2">
      <c r="A164">
        <v>13</v>
      </c>
      <c r="B164">
        <v>87.1</v>
      </c>
      <c r="C164">
        <v>22.93</v>
      </c>
      <c r="D164">
        <v>9.75</v>
      </c>
      <c r="E164">
        <v>27.38</v>
      </c>
      <c r="F164">
        <v>9.2200000000000006</v>
      </c>
    </row>
    <row r="165" spans="1:6" x14ac:dyDescent="0.2">
      <c r="A165">
        <v>14</v>
      </c>
      <c r="B165">
        <v>93.3</v>
      </c>
      <c r="C165">
        <v>19.579999999999998</v>
      </c>
      <c r="D165">
        <v>13</v>
      </c>
      <c r="E165">
        <v>21.03</v>
      </c>
      <c r="F165">
        <v>8.17</v>
      </c>
    </row>
    <row r="166" spans="1:6" x14ac:dyDescent="0.2">
      <c r="A166">
        <v>15</v>
      </c>
      <c r="B166">
        <v>68.400000000000006</v>
      </c>
      <c r="C166">
        <v>21.24</v>
      </c>
      <c r="D166">
        <v>9</v>
      </c>
      <c r="E166">
        <v>22.66</v>
      </c>
      <c r="F166">
        <v>5.53</v>
      </c>
    </row>
    <row r="167" spans="1:6" x14ac:dyDescent="0.2">
      <c r="A167">
        <v>16</v>
      </c>
      <c r="B167">
        <v>95.5</v>
      </c>
      <c r="C167">
        <v>22.72</v>
      </c>
      <c r="D167">
        <v>12.43</v>
      </c>
      <c r="E167">
        <v>24.35</v>
      </c>
      <c r="F167">
        <v>5</v>
      </c>
    </row>
    <row r="168" spans="1:6" x14ac:dyDescent="0.2">
      <c r="A168">
        <v>17</v>
      </c>
      <c r="B168">
        <v>78.599999999999994</v>
      </c>
      <c r="C168">
        <v>20.51</v>
      </c>
      <c r="D168">
        <v>9.64</v>
      </c>
      <c r="E168">
        <v>21.46</v>
      </c>
      <c r="F168">
        <v>6.81</v>
      </c>
    </row>
    <row r="169" spans="1:6" x14ac:dyDescent="0.2">
      <c r="A169">
        <v>18</v>
      </c>
      <c r="B169">
        <v>89.5</v>
      </c>
      <c r="C169">
        <v>21.09</v>
      </c>
      <c r="D169">
        <v>6.08</v>
      </c>
      <c r="E169">
        <v>21.92</v>
      </c>
      <c r="F169">
        <v>3.96</v>
      </c>
    </row>
    <row r="170" spans="1:6" x14ac:dyDescent="0.2">
      <c r="A170">
        <v>19</v>
      </c>
      <c r="B170">
        <v>76.2</v>
      </c>
      <c r="C170">
        <v>24.12</v>
      </c>
      <c r="D170">
        <v>7.06</v>
      </c>
      <c r="E170">
        <v>21.47</v>
      </c>
      <c r="F170">
        <v>3.95</v>
      </c>
    </row>
    <row r="171" spans="1:6" x14ac:dyDescent="0.2">
      <c r="A171">
        <v>20</v>
      </c>
      <c r="B171">
        <v>94.7</v>
      </c>
      <c r="C171">
        <v>22.95</v>
      </c>
      <c r="D171">
        <v>12.91</v>
      </c>
      <c r="E171">
        <v>23.59</v>
      </c>
      <c r="F171">
        <v>9.6199999999999992</v>
      </c>
    </row>
    <row r="172" spans="1:6" x14ac:dyDescent="0.2">
      <c r="A172">
        <v>21</v>
      </c>
      <c r="B172">
        <v>52.4</v>
      </c>
      <c r="C172">
        <v>27.76</v>
      </c>
      <c r="D172">
        <v>13.13</v>
      </c>
      <c r="E172">
        <v>17.48</v>
      </c>
      <c r="F172">
        <v>8</v>
      </c>
    </row>
    <row r="173" spans="1:6" x14ac:dyDescent="0.2">
      <c r="A173">
        <v>22</v>
      </c>
      <c r="B173">
        <v>70.8</v>
      </c>
      <c r="C173">
        <v>20.059999999999999</v>
      </c>
      <c r="D173">
        <v>3.42</v>
      </c>
      <c r="E173">
        <v>20.68</v>
      </c>
      <c r="F173">
        <v>9.33</v>
      </c>
    </row>
    <row r="174" spans="1:6" x14ac:dyDescent="0.2">
      <c r="A174">
        <v>23</v>
      </c>
      <c r="B174">
        <v>77.8</v>
      </c>
      <c r="C174">
        <v>18.28</v>
      </c>
      <c r="D174">
        <v>16.940000000000001</v>
      </c>
      <c r="E174">
        <v>19.29</v>
      </c>
      <c r="F174">
        <v>10</v>
      </c>
    </row>
    <row r="175" spans="1:6" x14ac:dyDescent="0.2">
      <c r="A175">
        <v>24</v>
      </c>
      <c r="B175">
        <v>66.7</v>
      </c>
      <c r="C175">
        <v>22.39</v>
      </c>
      <c r="D175">
        <v>12.33</v>
      </c>
      <c r="E175">
        <v>18.86</v>
      </c>
      <c r="F175">
        <v>1.53</v>
      </c>
    </row>
    <row r="176" spans="1:6" x14ac:dyDescent="0.2">
      <c r="A176">
        <v>25</v>
      </c>
      <c r="B176">
        <v>77.8</v>
      </c>
      <c r="C176">
        <v>19</v>
      </c>
      <c r="D176">
        <v>9.32</v>
      </c>
      <c r="E176">
        <v>21.96</v>
      </c>
      <c r="F176">
        <v>7.85</v>
      </c>
    </row>
    <row r="177" spans="1:6" x14ac:dyDescent="0.2">
      <c r="A177">
        <v>1</v>
      </c>
      <c r="B177">
        <v>83.3</v>
      </c>
      <c r="C177">
        <v>23.32</v>
      </c>
      <c r="D177">
        <v>15.05</v>
      </c>
      <c r="E177">
        <v>25.06</v>
      </c>
      <c r="F177">
        <v>9.18</v>
      </c>
    </row>
    <row r="178" spans="1:6" x14ac:dyDescent="0.2">
      <c r="A178">
        <v>2</v>
      </c>
      <c r="B178">
        <v>88.9</v>
      </c>
      <c r="C178">
        <v>26.02</v>
      </c>
      <c r="D178">
        <v>13.17</v>
      </c>
      <c r="E178">
        <v>21.4</v>
      </c>
      <c r="F178">
        <v>9.9600000000000009</v>
      </c>
    </row>
    <row r="179" spans="1:6" x14ac:dyDescent="0.2">
      <c r="A179">
        <v>3</v>
      </c>
      <c r="B179">
        <v>71</v>
      </c>
      <c r="C179">
        <v>26.38</v>
      </c>
      <c r="D179">
        <v>7.5</v>
      </c>
      <c r="E179">
        <v>20.98</v>
      </c>
      <c r="F179">
        <v>4.2</v>
      </c>
    </row>
    <row r="180" spans="1:6" x14ac:dyDescent="0.2">
      <c r="A180">
        <v>4</v>
      </c>
      <c r="B180">
        <v>73.099999999999994</v>
      </c>
      <c r="C180">
        <v>26.64</v>
      </c>
      <c r="D180">
        <v>11.17</v>
      </c>
      <c r="E180">
        <v>19.059999999999999</v>
      </c>
      <c r="F180">
        <v>6.91</v>
      </c>
    </row>
    <row r="181" spans="1:6" x14ac:dyDescent="0.2">
      <c r="A181">
        <v>5</v>
      </c>
      <c r="B181">
        <v>70</v>
      </c>
      <c r="C181">
        <v>22.34</v>
      </c>
      <c r="D181">
        <v>7.98</v>
      </c>
      <c r="E181">
        <v>21.22</v>
      </c>
      <c r="F181">
        <v>5.44</v>
      </c>
    </row>
    <row r="182" spans="1:6" x14ac:dyDescent="0.2">
      <c r="A182">
        <v>6</v>
      </c>
      <c r="B182">
        <v>83.3</v>
      </c>
      <c r="C182">
        <v>29.24</v>
      </c>
      <c r="D182">
        <v>13.17</v>
      </c>
      <c r="E182">
        <v>19.73</v>
      </c>
      <c r="F182">
        <v>6</v>
      </c>
    </row>
    <row r="183" spans="1:6" x14ac:dyDescent="0.2">
      <c r="A183">
        <v>7</v>
      </c>
      <c r="B183">
        <v>73.099999999999994</v>
      </c>
      <c r="C183">
        <v>22.95</v>
      </c>
      <c r="D183">
        <v>7.5</v>
      </c>
      <c r="E183">
        <v>18.36</v>
      </c>
      <c r="F183">
        <v>5.7</v>
      </c>
    </row>
    <row r="184" spans="1:6" x14ac:dyDescent="0.2">
      <c r="A184">
        <v>8</v>
      </c>
      <c r="B184">
        <v>68.400000000000006</v>
      </c>
      <c r="C184">
        <v>28.52</v>
      </c>
      <c r="D184">
        <v>13</v>
      </c>
      <c r="E184">
        <v>20.43</v>
      </c>
      <c r="F184">
        <v>11</v>
      </c>
    </row>
    <row r="185" spans="1:6" x14ac:dyDescent="0.2">
      <c r="A185">
        <v>9</v>
      </c>
      <c r="B185">
        <v>68.2</v>
      </c>
      <c r="C185">
        <v>19.18</v>
      </c>
      <c r="D185">
        <v>4.97</v>
      </c>
      <c r="E185">
        <v>21.78</v>
      </c>
      <c r="F185">
        <v>15.4</v>
      </c>
    </row>
    <row r="186" spans="1:6" x14ac:dyDescent="0.2">
      <c r="A186">
        <v>10</v>
      </c>
      <c r="B186">
        <v>87</v>
      </c>
      <c r="C186">
        <v>23.67</v>
      </c>
      <c r="D186">
        <v>10.82</v>
      </c>
      <c r="E186">
        <v>20.22</v>
      </c>
      <c r="F186">
        <v>7.82</v>
      </c>
    </row>
    <row r="187" spans="1:6" x14ac:dyDescent="0.2">
      <c r="A187">
        <v>11</v>
      </c>
      <c r="B187">
        <v>80</v>
      </c>
      <c r="C187">
        <v>24.91</v>
      </c>
      <c r="D187">
        <v>12</v>
      </c>
      <c r="E187">
        <v>20.85</v>
      </c>
      <c r="F187">
        <v>6.83</v>
      </c>
    </row>
    <row r="188" spans="1:6" x14ac:dyDescent="0.2">
      <c r="A188">
        <v>12</v>
      </c>
      <c r="B188">
        <v>71.400000000000006</v>
      </c>
      <c r="C188">
        <v>21.83</v>
      </c>
      <c r="D188">
        <v>6.21</v>
      </c>
      <c r="E188">
        <v>21.62</v>
      </c>
      <c r="F188">
        <v>6.44</v>
      </c>
    </row>
    <row r="189" spans="1:6" x14ac:dyDescent="0.2">
      <c r="A189">
        <v>13</v>
      </c>
      <c r="B189">
        <v>70</v>
      </c>
      <c r="C189">
        <v>21.78</v>
      </c>
      <c r="D189">
        <v>13.38</v>
      </c>
      <c r="E189">
        <v>22.5</v>
      </c>
      <c r="F189">
        <v>7.4</v>
      </c>
    </row>
    <row r="190" spans="1:6" x14ac:dyDescent="0.2">
      <c r="A190">
        <v>14</v>
      </c>
      <c r="B190">
        <v>73.3</v>
      </c>
      <c r="C190">
        <v>18.52</v>
      </c>
      <c r="D190">
        <v>6.81</v>
      </c>
      <c r="E190">
        <v>22.86</v>
      </c>
      <c r="F190">
        <v>8.52</v>
      </c>
    </row>
    <row r="191" spans="1:6" x14ac:dyDescent="0.2">
      <c r="A191">
        <v>15</v>
      </c>
      <c r="B191">
        <v>76.7</v>
      </c>
      <c r="C191">
        <v>21.94</v>
      </c>
      <c r="D191">
        <v>7.68</v>
      </c>
      <c r="E191">
        <v>21.73</v>
      </c>
      <c r="F191">
        <v>9.48</v>
      </c>
    </row>
    <row r="192" spans="1:6" x14ac:dyDescent="0.2">
      <c r="A192">
        <v>16</v>
      </c>
      <c r="B192">
        <v>70.8</v>
      </c>
      <c r="C192">
        <v>19.27</v>
      </c>
      <c r="D192">
        <v>7.29</v>
      </c>
      <c r="E192">
        <v>26.39</v>
      </c>
      <c r="F192">
        <v>6.71</v>
      </c>
    </row>
    <row r="193" spans="1:6" x14ac:dyDescent="0.2">
      <c r="A193">
        <v>17</v>
      </c>
      <c r="B193">
        <v>85</v>
      </c>
      <c r="C193">
        <v>19.149999999999999</v>
      </c>
      <c r="D193">
        <v>18.850000000000001</v>
      </c>
      <c r="E193">
        <v>17.52</v>
      </c>
      <c r="F193">
        <v>4</v>
      </c>
    </row>
    <row r="194" spans="1:6" x14ac:dyDescent="0.2">
      <c r="A194">
        <v>18</v>
      </c>
      <c r="B194">
        <v>80.8</v>
      </c>
      <c r="C194">
        <v>22.42</v>
      </c>
      <c r="D194">
        <v>8.19</v>
      </c>
      <c r="E194">
        <v>20.95</v>
      </c>
      <c r="F194">
        <v>11.35</v>
      </c>
    </row>
    <row r="195" spans="1:6" x14ac:dyDescent="0.2">
      <c r="A195">
        <v>19</v>
      </c>
      <c r="B195">
        <v>87.5</v>
      </c>
      <c r="C195">
        <v>21.67</v>
      </c>
      <c r="D195">
        <v>8.92</v>
      </c>
      <c r="E195">
        <v>20.57</v>
      </c>
      <c r="F195">
        <v>9.33</v>
      </c>
    </row>
    <row r="196" spans="1:6" x14ac:dyDescent="0.2">
      <c r="A196">
        <v>20</v>
      </c>
      <c r="B196">
        <v>75</v>
      </c>
      <c r="C196">
        <v>23.22</v>
      </c>
      <c r="D196">
        <v>10.43</v>
      </c>
      <c r="E196">
        <v>22.76</v>
      </c>
      <c r="F196">
        <v>8.3800000000000008</v>
      </c>
    </row>
    <row r="197" spans="1:6" x14ac:dyDescent="0.2">
      <c r="A197">
        <v>21</v>
      </c>
      <c r="B197">
        <v>78.599999999999994</v>
      </c>
      <c r="C197">
        <v>24.43</v>
      </c>
      <c r="D197">
        <v>9.8000000000000007</v>
      </c>
      <c r="E197">
        <v>19.559999999999999</v>
      </c>
      <c r="F197">
        <v>6.75</v>
      </c>
    </row>
    <row r="198" spans="1:6" x14ac:dyDescent="0.2">
      <c r="A198">
        <v>22</v>
      </c>
      <c r="B198">
        <v>70.599999999999994</v>
      </c>
      <c r="C198">
        <v>18.86</v>
      </c>
      <c r="D198">
        <v>13.61</v>
      </c>
      <c r="E198">
        <v>24.59</v>
      </c>
      <c r="F198">
        <v>2.06</v>
      </c>
    </row>
    <row r="199" spans="1:6" x14ac:dyDescent="0.2">
      <c r="A199">
        <v>23</v>
      </c>
      <c r="B199">
        <v>73.900000000000006</v>
      </c>
      <c r="C199">
        <v>20.84</v>
      </c>
      <c r="D199">
        <v>13.5</v>
      </c>
      <c r="E199">
        <v>21.36</v>
      </c>
      <c r="F199">
        <v>4.5</v>
      </c>
    </row>
    <row r="200" spans="1:6" x14ac:dyDescent="0.2">
      <c r="A200">
        <v>24</v>
      </c>
      <c r="B200">
        <v>65.599999999999994</v>
      </c>
      <c r="C200">
        <v>23.91</v>
      </c>
      <c r="D200">
        <v>14.38</v>
      </c>
      <c r="E200">
        <v>20.02</v>
      </c>
      <c r="F200">
        <v>11.64</v>
      </c>
    </row>
    <row r="201" spans="1:6" x14ac:dyDescent="0.2">
      <c r="A201">
        <v>25</v>
      </c>
      <c r="B201">
        <v>86.7</v>
      </c>
      <c r="C201">
        <v>21.87</v>
      </c>
      <c r="D201">
        <v>10.36</v>
      </c>
      <c r="E201">
        <v>24.21</v>
      </c>
      <c r="F201">
        <v>8.75</v>
      </c>
    </row>
    <row r="202" spans="1:6" x14ac:dyDescent="0.2">
      <c r="A202">
        <v>1</v>
      </c>
      <c r="B202">
        <v>92.3</v>
      </c>
      <c r="C202">
        <v>21.45</v>
      </c>
      <c r="D202">
        <v>14.1</v>
      </c>
      <c r="E202">
        <v>22.42</v>
      </c>
      <c r="F202">
        <v>5.57</v>
      </c>
    </row>
    <row r="203" spans="1:6" x14ac:dyDescent="0.2">
      <c r="A203">
        <v>2</v>
      </c>
      <c r="B203">
        <v>91.7</v>
      </c>
      <c r="C203">
        <v>23</v>
      </c>
      <c r="D203">
        <v>6.39</v>
      </c>
      <c r="E203">
        <v>21.8</v>
      </c>
      <c r="F203">
        <v>10.1</v>
      </c>
    </row>
    <row r="204" spans="1:6" x14ac:dyDescent="0.2">
      <c r="A204">
        <v>3</v>
      </c>
      <c r="B204">
        <v>69.2</v>
      </c>
      <c r="C204">
        <v>26.52</v>
      </c>
      <c r="D204">
        <v>8</v>
      </c>
      <c r="E204">
        <v>19.87</v>
      </c>
      <c r="F204">
        <v>10.17</v>
      </c>
    </row>
    <row r="205" spans="1:6" x14ac:dyDescent="0.2">
      <c r="A205">
        <v>4</v>
      </c>
      <c r="B205">
        <v>78.599999999999994</v>
      </c>
      <c r="C205">
        <v>22.63</v>
      </c>
      <c r="D205">
        <v>8.15</v>
      </c>
      <c r="E205">
        <v>23.16</v>
      </c>
      <c r="F205">
        <v>6.73</v>
      </c>
    </row>
    <row r="206" spans="1:6" x14ac:dyDescent="0.2">
      <c r="A206">
        <v>5</v>
      </c>
      <c r="B206">
        <v>61.5</v>
      </c>
      <c r="C206">
        <v>25.02</v>
      </c>
      <c r="D206">
        <v>8.5</v>
      </c>
      <c r="E206">
        <v>23.84</v>
      </c>
      <c r="F206">
        <v>5</v>
      </c>
    </row>
    <row r="207" spans="1:6" x14ac:dyDescent="0.2">
      <c r="A207">
        <v>6</v>
      </c>
      <c r="B207">
        <v>66.7</v>
      </c>
      <c r="C207">
        <v>20.399999999999999</v>
      </c>
      <c r="D207">
        <v>14.31</v>
      </c>
      <c r="E207">
        <v>21.79</v>
      </c>
      <c r="F207">
        <v>8.9600000000000009</v>
      </c>
    </row>
    <row r="208" spans="1:6" x14ac:dyDescent="0.2">
      <c r="A208">
        <v>7</v>
      </c>
      <c r="B208">
        <v>80</v>
      </c>
      <c r="C208">
        <v>25.72</v>
      </c>
      <c r="D208">
        <v>10.97</v>
      </c>
      <c r="E208">
        <v>19.11</v>
      </c>
      <c r="F208">
        <v>7.42</v>
      </c>
    </row>
    <row r="209" spans="1:6" x14ac:dyDescent="0.2">
      <c r="A209">
        <v>8</v>
      </c>
      <c r="B209">
        <v>84</v>
      </c>
      <c r="C209">
        <v>24.54</v>
      </c>
      <c r="D209">
        <v>10.36</v>
      </c>
      <c r="E209">
        <v>21.26</v>
      </c>
      <c r="F209">
        <v>5.33</v>
      </c>
    </row>
    <row r="210" spans="1:6" x14ac:dyDescent="0.2">
      <c r="A210">
        <v>9</v>
      </c>
      <c r="B210">
        <v>81.5</v>
      </c>
      <c r="C210">
        <v>19.18</v>
      </c>
      <c r="D210">
        <v>13</v>
      </c>
      <c r="E210">
        <v>16.920000000000002</v>
      </c>
      <c r="F210">
        <v>4.13</v>
      </c>
    </row>
    <row r="211" spans="1:6" x14ac:dyDescent="0.2">
      <c r="A211">
        <v>10</v>
      </c>
      <c r="B211">
        <v>66.7</v>
      </c>
      <c r="C211">
        <v>21.73</v>
      </c>
      <c r="D211">
        <v>12.52</v>
      </c>
      <c r="E211">
        <v>19.45</v>
      </c>
      <c r="F211">
        <v>10.42</v>
      </c>
    </row>
    <row r="212" spans="1:6" x14ac:dyDescent="0.2">
      <c r="A212">
        <v>11</v>
      </c>
      <c r="B212">
        <v>65.400000000000006</v>
      </c>
      <c r="C212">
        <v>21.85</v>
      </c>
      <c r="D212">
        <v>12.25</v>
      </c>
      <c r="E212">
        <v>19.32</v>
      </c>
      <c r="F212">
        <v>5.28</v>
      </c>
    </row>
    <row r="213" spans="1:6" x14ac:dyDescent="0.2">
      <c r="A213">
        <v>12</v>
      </c>
      <c r="B213">
        <v>53.8</v>
      </c>
      <c r="C213">
        <v>22.2</v>
      </c>
      <c r="D213">
        <v>9.9</v>
      </c>
      <c r="E213">
        <v>21</v>
      </c>
      <c r="F213">
        <v>11.93</v>
      </c>
    </row>
    <row r="214" spans="1:6" x14ac:dyDescent="0.2">
      <c r="A214">
        <v>13</v>
      </c>
      <c r="B214">
        <v>65.2</v>
      </c>
      <c r="C214">
        <v>21.1</v>
      </c>
      <c r="D214">
        <v>16.88</v>
      </c>
      <c r="E214">
        <v>21.66</v>
      </c>
      <c r="F214">
        <v>7.12</v>
      </c>
    </row>
    <row r="215" spans="1:6" x14ac:dyDescent="0.2">
      <c r="A215">
        <v>14</v>
      </c>
      <c r="B215">
        <v>81</v>
      </c>
      <c r="C215">
        <v>22</v>
      </c>
      <c r="D215">
        <v>10.56</v>
      </c>
      <c r="E215">
        <v>20.21</v>
      </c>
      <c r="F215">
        <v>5.93</v>
      </c>
    </row>
    <row r="216" spans="1:6" x14ac:dyDescent="0.2">
      <c r="A216">
        <v>15</v>
      </c>
      <c r="B216">
        <v>79.3</v>
      </c>
      <c r="C216">
        <v>20.59</v>
      </c>
      <c r="D216">
        <v>8.9600000000000009</v>
      </c>
      <c r="E216">
        <v>19.45</v>
      </c>
      <c r="F216">
        <v>12.42</v>
      </c>
    </row>
    <row r="217" spans="1:6" x14ac:dyDescent="0.2">
      <c r="A217">
        <v>16</v>
      </c>
      <c r="B217">
        <v>78.900000000000006</v>
      </c>
      <c r="C217">
        <v>23.86</v>
      </c>
      <c r="D217">
        <v>18.399999999999999</v>
      </c>
      <c r="E217">
        <v>24.98</v>
      </c>
      <c r="F217">
        <v>6.54</v>
      </c>
    </row>
    <row r="218" spans="1:6" x14ac:dyDescent="0.2">
      <c r="A218">
        <v>17</v>
      </c>
      <c r="B218">
        <v>69.599999999999994</v>
      </c>
      <c r="C218">
        <v>24.19</v>
      </c>
      <c r="D218">
        <v>9.51</v>
      </c>
      <c r="E218">
        <v>20.21</v>
      </c>
      <c r="F218">
        <v>7.06</v>
      </c>
    </row>
    <row r="219" spans="1:6" x14ac:dyDescent="0.2">
      <c r="A219">
        <v>18</v>
      </c>
      <c r="B219">
        <v>65.400000000000006</v>
      </c>
      <c r="C219">
        <v>23.45</v>
      </c>
      <c r="D219">
        <v>9.83</v>
      </c>
      <c r="E219">
        <v>18.670000000000002</v>
      </c>
      <c r="F219">
        <v>10.039999999999999</v>
      </c>
    </row>
    <row r="220" spans="1:6" x14ac:dyDescent="0.2">
      <c r="A220">
        <v>19</v>
      </c>
      <c r="B220">
        <v>74.099999999999994</v>
      </c>
      <c r="C220">
        <v>20.41</v>
      </c>
      <c r="D220">
        <v>11.11</v>
      </c>
      <c r="E220">
        <v>22.93</v>
      </c>
      <c r="F220">
        <v>3.18</v>
      </c>
    </row>
    <row r="221" spans="1:6" x14ac:dyDescent="0.2">
      <c r="A221">
        <v>20</v>
      </c>
      <c r="B221">
        <v>79.2</v>
      </c>
      <c r="C221">
        <v>20.46</v>
      </c>
      <c r="D221">
        <v>10.07</v>
      </c>
      <c r="E221">
        <v>21.98</v>
      </c>
      <c r="F221">
        <v>5</v>
      </c>
    </row>
    <row r="222" spans="1:6" x14ac:dyDescent="0.2">
      <c r="A222">
        <v>21</v>
      </c>
      <c r="B222">
        <v>83.3</v>
      </c>
      <c r="C222">
        <v>24.15</v>
      </c>
      <c r="D222">
        <v>8.7100000000000009</v>
      </c>
      <c r="E222">
        <v>19.88</v>
      </c>
      <c r="F222">
        <v>8.6300000000000008</v>
      </c>
    </row>
    <row r="223" spans="1:6" x14ac:dyDescent="0.2">
      <c r="A223">
        <v>22</v>
      </c>
      <c r="B223">
        <v>60</v>
      </c>
      <c r="C223">
        <v>19.62</v>
      </c>
      <c r="D223">
        <v>6.74</v>
      </c>
      <c r="E223">
        <v>19.89</v>
      </c>
      <c r="F223">
        <v>9.8000000000000007</v>
      </c>
    </row>
    <row r="224" spans="1:6" x14ac:dyDescent="0.2">
      <c r="A224">
        <v>23</v>
      </c>
      <c r="B224">
        <v>85</v>
      </c>
      <c r="C224">
        <v>21.49</v>
      </c>
      <c r="D224">
        <v>7.89</v>
      </c>
      <c r="E224">
        <v>28</v>
      </c>
      <c r="F224">
        <v>5.26</v>
      </c>
    </row>
    <row r="225" spans="1:6" x14ac:dyDescent="0.2">
      <c r="A225">
        <v>24</v>
      </c>
      <c r="B225">
        <v>78.599999999999994</v>
      </c>
      <c r="C225">
        <v>19.36</v>
      </c>
      <c r="D225">
        <v>9.9600000000000009</v>
      </c>
      <c r="E225">
        <v>21.43</v>
      </c>
      <c r="F225">
        <v>9.67</v>
      </c>
    </row>
    <row r="226" spans="1:6" x14ac:dyDescent="0.2">
      <c r="A226">
        <v>25</v>
      </c>
      <c r="B226">
        <v>64.7</v>
      </c>
      <c r="C226">
        <v>24.6</v>
      </c>
      <c r="D226">
        <v>3.73</v>
      </c>
      <c r="E226">
        <v>21.79</v>
      </c>
      <c r="F226">
        <v>7.67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2"/>
  <sheetViews>
    <sheetView showGridLines="0" showRowColHeaders="0" workbookViewId="0">
      <selection activeCell="A18" sqref="A18:A22"/>
    </sheetView>
  </sheetViews>
  <sheetFormatPr baseColWidth="10" defaultColWidth="8.83203125" defaultRowHeight="15" x14ac:dyDescent="0.2"/>
  <cols>
    <col min="1" max="1" width="24.1640625" bestFit="1" customWidth="1"/>
    <col min="2" max="2" width="12.6640625" bestFit="1" customWidth="1"/>
    <col min="3" max="3" width="14.5" bestFit="1" customWidth="1"/>
    <col min="4" max="4" width="12.6640625" bestFit="1" customWidth="1"/>
    <col min="5" max="5" width="12" bestFit="1" customWidth="1"/>
    <col min="6" max="6" width="13.5" bestFit="1" customWidth="1"/>
    <col min="7" max="7" width="12" bestFit="1" customWidth="1"/>
    <col min="8" max="8" width="12.6640625" bestFit="1" customWidth="1"/>
    <col min="9" max="9" width="12.5" bestFit="1" customWidth="1"/>
    <col min="10" max="10" width="23.5" bestFit="1" customWidth="1"/>
    <col min="11" max="11" width="24.1640625" bestFit="1" customWidth="1"/>
  </cols>
  <sheetData>
    <row r="1" spans="1:9" ht="26" x14ac:dyDescent="0.3">
      <c r="A1" s="43" t="s">
        <v>176</v>
      </c>
    </row>
    <row r="2" spans="1:9" ht="16" thickBot="1" x14ac:dyDescent="0.25"/>
    <row r="3" spans="1:9" x14ac:dyDescent="0.2">
      <c r="A3" s="22" t="s">
        <v>148</v>
      </c>
      <c r="B3" s="22"/>
    </row>
    <row r="4" spans="1:9" x14ac:dyDescent="0.2">
      <c r="A4" s="19" t="s">
        <v>149</v>
      </c>
      <c r="B4" s="19">
        <v>8.3111134083770286E-2</v>
      </c>
    </row>
    <row r="5" spans="1:9" x14ac:dyDescent="0.2">
      <c r="A5" s="19" t="s">
        <v>150</v>
      </c>
      <c r="B5" s="19">
        <v>6.9074606086904434E-3</v>
      </c>
    </row>
    <row r="6" spans="1:9" x14ac:dyDescent="0.2">
      <c r="A6" s="19" t="s">
        <v>151</v>
      </c>
      <c r="B6" s="19">
        <v>-1.576588503951297E-2</v>
      </c>
    </row>
    <row r="7" spans="1:9" x14ac:dyDescent="0.2">
      <c r="A7" s="19" t="s">
        <v>152</v>
      </c>
      <c r="B7" s="19">
        <v>7.2839294901032634</v>
      </c>
    </row>
    <row r="8" spans="1:9" ht="16" thickBot="1" x14ac:dyDescent="0.25">
      <c r="A8" s="20" t="s">
        <v>153</v>
      </c>
      <c r="B8" s="20">
        <v>225</v>
      </c>
    </row>
    <row r="10" spans="1:9" ht="16" thickBot="1" x14ac:dyDescent="0.25">
      <c r="A10" t="s">
        <v>154</v>
      </c>
    </row>
    <row r="11" spans="1:9" x14ac:dyDescent="0.2">
      <c r="A11" s="21"/>
      <c r="B11" s="21" t="s">
        <v>159</v>
      </c>
      <c r="C11" s="21" t="s">
        <v>160</v>
      </c>
      <c r="D11" s="21" t="s">
        <v>161</v>
      </c>
      <c r="E11" s="21" t="s">
        <v>162</v>
      </c>
      <c r="F11" s="21" t="s">
        <v>163</v>
      </c>
    </row>
    <row r="12" spans="1:9" x14ac:dyDescent="0.2">
      <c r="A12" s="19" t="s">
        <v>155</v>
      </c>
      <c r="B12" s="19">
        <v>5</v>
      </c>
      <c r="C12" s="19">
        <v>80.817289121678186</v>
      </c>
      <c r="D12" s="19">
        <v>16.163457824335637</v>
      </c>
      <c r="E12" s="19">
        <v>0.30465114041243291</v>
      </c>
      <c r="F12" s="19">
        <v>0.90977566444964086</v>
      </c>
    </row>
    <row r="13" spans="1:9" x14ac:dyDescent="0.2">
      <c r="A13" s="19" t="s">
        <v>156</v>
      </c>
      <c r="B13" s="19">
        <v>219</v>
      </c>
      <c r="C13" s="19">
        <v>11619.182710878322</v>
      </c>
      <c r="D13" s="19">
        <v>53.055628816795988</v>
      </c>
      <c r="E13" s="19"/>
      <c r="F13" s="19"/>
    </row>
    <row r="14" spans="1:9" ht="16" thickBot="1" x14ac:dyDescent="0.25">
      <c r="A14" s="20" t="s">
        <v>157</v>
      </c>
      <c r="B14" s="20">
        <v>224</v>
      </c>
      <c r="C14" s="20">
        <v>11700</v>
      </c>
      <c r="D14" s="20"/>
      <c r="E14" s="20"/>
      <c r="F14" s="20"/>
    </row>
    <row r="15" spans="1:9" ht="16" thickBot="1" x14ac:dyDescent="0.25"/>
    <row r="16" spans="1:9" x14ac:dyDescent="0.2">
      <c r="A16" s="21"/>
      <c r="B16" s="21" t="s">
        <v>164</v>
      </c>
      <c r="C16" s="21" t="s">
        <v>152</v>
      </c>
      <c r="D16" s="21" t="s">
        <v>165</v>
      </c>
      <c r="E16" s="21" t="s">
        <v>166</v>
      </c>
      <c r="F16" s="21" t="s">
        <v>167</v>
      </c>
      <c r="G16" s="21" t="s">
        <v>168</v>
      </c>
      <c r="H16" s="21" t="s">
        <v>169</v>
      </c>
      <c r="I16" s="21" t="s">
        <v>170</v>
      </c>
    </row>
    <row r="17" spans="1:9" x14ac:dyDescent="0.2">
      <c r="A17" s="19" t="s">
        <v>158</v>
      </c>
      <c r="B17" s="19">
        <v>17.47555689605705</v>
      </c>
      <c r="C17" s="19">
        <v>7.4907952746045483</v>
      </c>
      <c r="D17" s="19">
        <v>2.3329374592979533</v>
      </c>
      <c r="E17" s="19">
        <v>2.0558546851439825E-2</v>
      </c>
      <c r="F17" s="19">
        <v>2.7122828248098436</v>
      </c>
      <c r="G17" s="19">
        <v>32.238830967304253</v>
      </c>
      <c r="H17" s="19">
        <v>2.7122828248098436</v>
      </c>
      <c r="I17" s="19">
        <v>32.238830967304253</v>
      </c>
    </row>
    <row r="18" spans="1:9" x14ac:dyDescent="0.2">
      <c r="A18" s="19" t="s">
        <v>171</v>
      </c>
      <c r="B18" s="19">
        <v>-1.846771823052562E-3</v>
      </c>
      <c r="C18" s="19">
        <v>5.0615858012713233E-2</v>
      </c>
      <c r="D18" s="19">
        <v>-3.6486032155944217E-2</v>
      </c>
      <c r="E18" s="19">
        <v>0.97092805147914651</v>
      </c>
      <c r="F18" s="19">
        <v>-0.10160330725079035</v>
      </c>
      <c r="G18" s="19">
        <v>9.7909763604685215E-2</v>
      </c>
      <c r="H18" s="19">
        <v>-0.10160330725079035</v>
      </c>
      <c r="I18" s="19">
        <v>9.7909763604685215E-2</v>
      </c>
    </row>
    <row r="19" spans="1:9" x14ac:dyDescent="0.2">
      <c r="A19" s="19" t="s">
        <v>172</v>
      </c>
      <c r="B19" s="19">
        <v>-0.13550383920371473</v>
      </c>
      <c r="C19" s="19">
        <v>0.19490654800006441</v>
      </c>
      <c r="D19" s="19">
        <v>-0.69522466327642285</v>
      </c>
      <c r="E19" s="19">
        <v>0.48765152381186927</v>
      </c>
      <c r="F19" s="19">
        <v>-0.51963645542416748</v>
      </c>
      <c r="G19" s="19">
        <v>0.24862877701673802</v>
      </c>
      <c r="H19" s="19">
        <v>-0.51963645542416748</v>
      </c>
      <c r="I19" s="19">
        <v>0.24862877701673802</v>
      </c>
    </row>
    <row r="20" spans="1:9" x14ac:dyDescent="0.2">
      <c r="A20" s="19" t="s">
        <v>173</v>
      </c>
      <c r="B20" s="19">
        <v>-0.12832016525885309</v>
      </c>
      <c r="C20" s="19">
        <v>0.14425383068666386</v>
      </c>
      <c r="D20" s="19">
        <v>-0.88954424744240901</v>
      </c>
      <c r="E20" s="19">
        <v>0.37468673924466822</v>
      </c>
      <c r="F20" s="19">
        <v>-0.41262360170097873</v>
      </c>
      <c r="G20" s="19">
        <v>0.15598327118327254</v>
      </c>
      <c r="H20" s="19">
        <v>-0.41262360170097873</v>
      </c>
      <c r="I20" s="19">
        <v>0.15598327118327254</v>
      </c>
    </row>
    <row r="21" spans="1:9" x14ac:dyDescent="0.2">
      <c r="A21" s="19" t="s">
        <v>174</v>
      </c>
      <c r="B21" s="19">
        <v>-1.0679934291269691E-2</v>
      </c>
      <c r="C21" s="19">
        <v>0.23042477176256748</v>
      </c>
      <c r="D21" s="19">
        <v>-4.6348898209062461E-2</v>
      </c>
      <c r="E21" s="19">
        <v>0.96307440283615831</v>
      </c>
      <c r="F21" s="19">
        <v>-0.46481383244602281</v>
      </c>
      <c r="G21" s="19">
        <v>0.44345396386348346</v>
      </c>
      <c r="H21" s="19">
        <v>-0.46481383244602281</v>
      </c>
      <c r="I21" s="19">
        <v>0.44345396386348346</v>
      </c>
    </row>
    <row r="22" spans="1:9" ht="16" thickBot="1" x14ac:dyDescent="0.25">
      <c r="A22" s="20" t="s">
        <v>175</v>
      </c>
      <c r="B22" s="20">
        <v>2.4378646009175671E-2</v>
      </c>
      <c r="C22" s="20">
        <v>0.14531142342803616</v>
      </c>
      <c r="D22" s="20">
        <v>0.16776826923899016</v>
      </c>
      <c r="E22" s="20">
        <v>0.86692040876019172</v>
      </c>
      <c r="F22" s="20">
        <v>-0.26200915276355247</v>
      </c>
      <c r="G22" s="20">
        <v>0.31076644478190379</v>
      </c>
      <c r="H22" s="20">
        <v>-0.26200915276355247</v>
      </c>
      <c r="I22" s="20">
        <v>0.31076644478190379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29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8.332031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88</v>
      </c>
      <c r="C2" s="6">
        <v>25.4</v>
      </c>
      <c r="D2" s="6">
        <v>11</v>
      </c>
      <c r="E2" s="6">
        <v>20.85</v>
      </c>
      <c r="F2" s="28">
        <v>4.53</v>
      </c>
      <c r="H2">
        <v>1</v>
      </c>
      <c r="I2" t="s">
        <v>24</v>
      </c>
      <c r="J2">
        <f>VLOOKUP(I2,'ST 2016'!$A$2:$F$129,2)</f>
        <v>73.7</v>
      </c>
      <c r="K2">
        <f>VLOOKUP(I2,'ST 2016'!$A$2:$F$129,3)</f>
        <v>21.26</v>
      </c>
      <c r="L2">
        <f>VLOOKUP(I2,'ST 2016'!$A$2:$F$129,4)</f>
        <v>7.94</v>
      </c>
      <c r="M2">
        <f>VLOOKUP(I2,'ST 2016'!$A$2:$F$129,5)</f>
        <v>19.7</v>
      </c>
      <c r="N2">
        <f>VLOOKUP(I2,'ST 2016'!$A$2:$F$129,6)</f>
        <v>5.2</v>
      </c>
      <c r="O2">
        <v>2016</v>
      </c>
    </row>
    <row r="3" spans="1:15" x14ac:dyDescent="0.2">
      <c r="A3" s="9" t="s">
        <v>103</v>
      </c>
      <c r="B3" s="10">
        <v>90.9</v>
      </c>
      <c r="C3" s="9">
        <v>18.09</v>
      </c>
      <c r="D3" s="9">
        <v>17.53</v>
      </c>
      <c r="E3" s="9">
        <v>21.16</v>
      </c>
      <c r="F3" s="29">
        <v>7.48</v>
      </c>
      <c r="H3">
        <v>2</v>
      </c>
      <c r="I3" t="s">
        <v>11</v>
      </c>
      <c r="J3">
        <f>VLOOKUP(I3,'ST 2016'!$A$2:$F$129,2)</f>
        <v>75.900000000000006</v>
      </c>
      <c r="K3">
        <f>VLOOKUP(I3,'ST 2016'!$A$2:$F$129,3)</f>
        <v>19.54</v>
      </c>
      <c r="L3">
        <f>VLOOKUP(I3,'ST 2016'!$A$2:$F$129,4)</f>
        <v>15.53</v>
      </c>
      <c r="M3">
        <f>VLOOKUP(I3,'ST 2016'!$A$2:$F$129,5)</f>
        <v>21.26</v>
      </c>
      <c r="N3">
        <f>VLOOKUP(I3,'ST 2016'!$A$2:$F$129,6)</f>
        <v>10.65</v>
      </c>
      <c r="O3">
        <v>2016</v>
      </c>
    </row>
    <row r="4" spans="1:15" x14ac:dyDescent="0.2">
      <c r="A4" s="6" t="s">
        <v>11</v>
      </c>
      <c r="B4" s="7">
        <v>75.900000000000006</v>
      </c>
      <c r="C4" s="6">
        <v>19.54</v>
      </c>
      <c r="D4" s="6">
        <v>15.53</v>
      </c>
      <c r="E4" s="6">
        <v>21.26</v>
      </c>
      <c r="F4" s="28">
        <v>10.65</v>
      </c>
      <c r="H4">
        <v>3</v>
      </c>
      <c r="I4" t="s">
        <v>26</v>
      </c>
      <c r="J4">
        <f>VLOOKUP(I4,'ST 2016'!$A$2:$F$129,2)</f>
        <v>72</v>
      </c>
      <c r="K4">
        <f>VLOOKUP(I4,'ST 2016'!$A$2:$F$129,3)</f>
        <v>23.23</v>
      </c>
      <c r="L4">
        <f>VLOOKUP(I4,'ST 2016'!$A$2:$F$129,4)</f>
        <v>15.33</v>
      </c>
      <c r="M4">
        <f>VLOOKUP(I4,'ST 2016'!$A$2:$F$129,5)</f>
        <v>19.28</v>
      </c>
      <c r="N4">
        <f>VLOOKUP(I4,'ST 2016'!$A$2:$F$129,6)</f>
        <v>6.25</v>
      </c>
      <c r="O4">
        <v>2016</v>
      </c>
    </row>
    <row r="5" spans="1:15" x14ac:dyDescent="0.2">
      <c r="A5" s="9" t="s">
        <v>45</v>
      </c>
      <c r="B5" s="10">
        <v>71.400000000000006</v>
      </c>
      <c r="C5" s="9">
        <v>20.65</v>
      </c>
      <c r="D5" s="9">
        <v>10.88</v>
      </c>
      <c r="E5" s="9">
        <v>23.81</v>
      </c>
      <c r="F5" s="29">
        <v>12.5</v>
      </c>
      <c r="H5">
        <v>4</v>
      </c>
      <c r="I5" t="s">
        <v>17</v>
      </c>
      <c r="J5">
        <f>VLOOKUP(I5,'ST 2016'!$A$2:$F$129,2)</f>
        <v>80</v>
      </c>
      <c r="K5">
        <f>VLOOKUP(I5,'ST 2016'!$A$2:$F$129,3)</f>
        <v>20.97</v>
      </c>
      <c r="L5">
        <f>VLOOKUP(I5,'ST 2016'!$A$2:$F$129,4)</f>
        <v>11.23</v>
      </c>
      <c r="M5">
        <f>VLOOKUP(I5,'ST 2016'!$A$2:$F$129,5)</f>
        <v>18.84</v>
      </c>
      <c r="N5">
        <f>VLOOKUP(I5,'ST 2016'!$A$2:$F$129,6)</f>
        <v>8.92</v>
      </c>
      <c r="O5">
        <v>2016</v>
      </c>
    </row>
    <row r="6" spans="1:15" x14ac:dyDescent="0.2">
      <c r="A6" s="6" t="s">
        <v>5</v>
      </c>
      <c r="B6" s="7">
        <v>64.3</v>
      </c>
      <c r="C6" s="6">
        <v>17.03</v>
      </c>
      <c r="D6" s="6">
        <v>4.67</v>
      </c>
      <c r="E6" s="6">
        <v>19.170000000000002</v>
      </c>
      <c r="F6" s="28">
        <v>11.48</v>
      </c>
      <c r="H6">
        <v>5</v>
      </c>
      <c r="I6" t="s">
        <v>3</v>
      </c>
      <c r="J6">
        <f>VLOOKUP(I6,'ST 2016'!$A$2:$F$129,2)</f>
        <v>68.8</v>
      </c>
      <c r="K6">
        <f>VLOOKUP(I6,'ST 2016'!$A$2:$F$129,3)</f>
        <v>23.29</v>
      </c>
      <c r="L6">
        <f>VLOOKUP(I6,'ST 2016'!$A$2:$F$129,4)</f>
        <v>10.17</v>
      </c>
      <c r="M6">
        <f>VLOOKUP(I6,'ST 2016'!$A$2:$F$129,5)</f>
        <v>21.76</v>
      </c>
      <c r="N6">
        <f>VLOOKUP(I6,'ST 2016'!$A$2:$F$129,6)</f>
        <v>7.44</v>
      </c>
      <c r="O6">
        <v>2016</v>
      </c>
    </row>
    <row r="7" spans="1:15" x14ac:dyDescent="0.2">
      <c r="A7" s="9" t="s">
        <v>38</v>
      </c>
      <c r="B7" s="10">
        <v>92</v>
      </c>
      <c r="C7" s="9">
        <v>21.66</v>
      </c>
      <c r="D7" s="9">
        <v>10.26</v>
      </c>
      <c r="E7" s="9">
        <v>25.95</v>
      </c>
      <c r="F7" s="29">
        <v>3.42</v>
      </c>
      <c r="H7">
        <v>6</v>
      </c>
      <c r="I7" t="s">
        <v>4</v>
      </c>
      <c r="J7">
        <f>VLOOKUP(I7,'ST 2016'!$A$2:$F$129,2)</f>
        <v>77.3</v>
      </c>
      <c r="K7">
        <f>VLOOKUP(I7,'ST 2016'!$A$2:$F$129,3)</f>
        <v>24.36</v>
      </c>
      <c r="L7">
        <f>VLOOKUP(I7,'ST 2016'!$A$2:$F$129,4)</f>
        <v>5.15</v>
      </c>
      <c r="M7">
        <f>VLOOKUP(I7,'ST 2016'!$A$2:$F$129,5)</f>
        <v>18.920000000000002</v>
      </c>
      <c r="N7">
        <f>VLOOKUP(I7,'ST 2016'!$A$2:$F$129,6)</f>
        <v>3.93</v>
      </c>
      <c r="O7">
        <v>2016</v>
      </c>
    </row>
    <row r="8" spans="1:15" x14ac:dyDescent="0.2">
      <c r="A8" s="6" t="s">
        <v>63</v>
      </c>
      <c r="B8" s="7">
        <v>76.5</v>
      </c>
      <c r="C8" s="6">
        <v>18.59</v>
      </c>
      <c r="D8" s="6">
        <v>8.41</v>
      </c>
      <c r="E8" s="6">
        <v>20.65</v>
      </c>
      <c r="F8" s="28">
        <v>5.61</v>
      </c>
      <c r="H8">
        <v>7</v>
      </c>
      <c r="I8" t="s">
        <v>6</v>
      </c>
      <c r="J8">
        <f>VLOOKUP(I8,'ST 2016'!$A$2:$F$129,2)</f>
        <v>91.7</v>
      </c>
      <c r="K8">
        <f>VLOOKUP(I8,'ST 2016'!$A$2:$F$129,3)</f>
        <v>19.690000000000001</v>
      </c>
      <c r="L8">
        <f>VLOOKUP(I8,'ST 2016'!$A$2:$F$129,4)</f>
        <v>6.47</v>
      </c>
      <c r="M8">
        <f>VLOOKUP(I8,'ST 2016'!$A$2:$F$129,5)</f>
        <v>18.82</v>
      </c>
      <c r="N8">
        <f>VLOOKUP(I8,'ST 2016'!$A$2:$F$129,6)</f>
        <v>6.95</v>
      </c>
      <c r="O8">
        <v>2016</v>
      </c>
    </row>
    <row r="9" spans="1:15" x14ac:dyDescent="0.2">
      <c r="A9" s="9" t="s">
        <v>8</v>
      </c>
      <c r="B9" s="10">
        <v>68.400000000000006</v>
      </c>
      <c r="C9" s="9">
        <v>21.3</v>
      </c>
      <c r="D9" s="9">
        <v>7.43</v>
      </c>
      <c r="E9" s="9">
        <v>16.13</v>
      </c>
      <c r="F9" s="29">
        <v>6.67</v>
      </c>
      <c r="H9">
        <v>8</v>
      </c>
      <c r="I9" t="s">
        <v>88</v>
      </c>
      <c r="J9">
        <f>VLOOKUP(I9,'ST 2016'!$A$2:$F$129,2)</f>
        <v>71.400000000000006</v>
      </c>
      <c r="K9">
        <f>VLOOKUP(I9,'ST 2016'!$A$2:$F$129,3)</f>
        <v>22.58</v>
      </c>
      <c r="L9">
        <f>VLOOKUP(I9,'ST 2016'!$A$2:$F$129,4)</f>
        <v>7.41</v>
      </c>
      <c r="M9">
        <f>VLOOKUP(I9,'ST 2016'!$A$2:$F$129,5)</f>
        <v>18.03</v>
      </c>
      <c r="N9">
        <f>VLOOKUP(I9,'ST 2016'!$A$2:$F$129,6)</f>
        <v>18.600000000000001</v>
      </c>
      <c r="O9">
        <v>2016</v>
      </c>
    </row>
    <row r="10" spans="1:15" x14ac:dyDescent="0.2">
      <c r="A10" s="6" t="s">
        <v>42</v>
      </c>
      <c r="B10" s="7">
        <v>50</v>
      </c>
      <c r="C10" s="6">
        <v>16.940000000000001</v>
      </c>
      <c r="D10" s="6">
        <v>6.95</v>
      </c>
      <c r="E10" s="6">
        <v>19.02</v>
      </c>
      <c r="F10" s="28">
        <v>8</v>
      </c>
      <c r="H10">
        <v>9</v>
      </c>
      <c r="I10" t="s">
        <v>25</v>
      </c>
      <c r="J10">
        <f>VLOOKUP(I10,'ST 2016'!$A$2:$F$129,2)</f>
        <v>74.099999999999994</v>
      </c>
      <c r="K10">
        <f>VLOOKUP(I10,'ST 2016'!$A$2:$F$129,3)</f>
        <v>19.07</v>
      </c>
      <c r="L10">
        <f>VLOOKUP(I10,'ST 2016'!$A$2:$F$129,4)</f>
        <v>6.81</v>
      </c>
      <c r="M10">
        <f>VLOOKUP(I10,'ST 2016'!$A$2:$F$129,5)</f>
        <v>19.97</v>
      </c>
      <c r="N10">
        <f>VLOOKUP(I10,'ST 2016'!$A$2:$F$129,6)</f>
        <v>7.3</v>
      </c>
      <c r="O10">
        <v>2016</v>
      </c>
    </row>
    <row r="11" spans="1:15" x14ac:dyDescent="0.2">
      <c r="A11" s="9" t="s">
        <v>19</v>
      </c>
      <c r="B11" s="10">
        <v>87.5</v>
      </c>
      <c r="C11" s="9">
        <v>19.04</v>
      </c>
      <c r="D11" s="9">
        <v>10.69</v>
      </c>
      <c r="E11" s="9">
        <v>18</v>
      </c>
      <c r="F11" s="29">
        <v>3.17</v>
      </c>
      <c r="H11">
        <v>10</v>
      </c>
      <c r="I11" t="s">
        <v>84</v>
      </c>
      <c r="J11">
        <f>VLOOKUP(I11,'ST 2016'!$A$2:$F$129,2)</f>
        <v>79.2</v>
      </c>
      <c r="K11">
        <f>VLOOKUP(I11,'ST 2016'!$A$2:$F$129,3)</f>
        <v>18.690000000000001</v>
      </c>
      <c r="L11">
        <f>VLOOKUP(I11,'ST 2016'!$A$2:$F$129,4)</f>
        <v>14.28</v>
      </c>
      <c r="M11">
        <f>VLOOKUP(I11,'ST 2016'!$A$2:$F$129,5)</f>
        <v>22.1</v>
      </c>
      <c r="N11">
        <f>VLOOKUP(I11,'ST 2016'!$A$2:$F$129,6)</f>
        <v>6.52</v>
      </c>
      <c r="O11">
        <v>2016</v>
      </c>
    </row>
    <row r="12" spans="1:15" x14ac:dyDescent="0.2">
      <c r="A12" s="6" t="s">
        <v>120</v>
      </c>
      <c r="B12" s="7">
        <v>78.900000000000006</v>
      </c>
      <c r="C12" s="6">
        <v>20.9</v>
      </c>
      <c r="D12" s="6">
        <v>5.22</v>
      </c>
      <c r="E12" s="6">
        <v>19.66</v>
      </c>
      <c r="F12" s="28">
        <v>8.06</v>
      </c>
      <c r="H12">
        <v>11</v>
      </c>
      <c r="I12" t="s">
        <v>2</v>
      </c>
      <c r="J12">
        <f>VLOOKUP(I12,'ST 2016'!$A$2:$F$129,2)</f>
        <v>76.900000000000006</v>
      </c>
      <c r="K12">
        <f>VLOOKUP(I12,'ST 2016'!$A$2:$F$129,3)</f>
        <v>20.63</v>
      </c>
      <c r="L12">
        <f>VLOOKUP(I12,'ST 2016'!$A$2:$F$129,4)</f>
        <v>10.86</v>
      </c>
      <c r="M12">
        <f>VLOOKUP(I12,'ST 2016'!$A$2:$F$129,5)</f>
        <v>17.940000000000001</v>
      </c>
      <c r="N12">
        <f>VLOOKUP(I12,'ST 2016'!$A$2:$F$129,6)</f>
        <v>0.94</v>
      </c>
      <c r="O12">
        <v>2016</v>
      </c>
    </row>
    <row r="13" spans="1:15" x14ac:dyDescent="0.2">
      <c r="A13" s="9" t="s">
        <v>94</v>
      </c>
      <c r="B13" s="10">
        <v>62.5</v>
      </c>
      <c r="C13" s="9">
        <v>19.14</v>
      </c>
      <c r="D13" s="9">
        <v>9.6999999999999993</v>
      </c>
      <c r="E13" s="9">
        <v>19.2</v>
      </c>
      <c r="F13" s="29">
        <v>2.13</v>
      </c>
      <c r="H13">
        <v>12</v>
      </c>
      <c r="I13" t="s">
        <v>37</v>
      </c>
      <c r="J13">
        <f>VLOOKUP(I13,'ST 2016'!$A$2:$F$129,2)</f>
        <v>81.5</v>
      </c>
      <c r="K13">
        <f>VLOOKUP(I13,'ST 2016'!$A$2:$F$129,3)</f>
        <v>14.84</v>
      </c>
      <c r="L13">
        <f>VLOOKUP(I13,'ST 2016'!$A$2:$F$129,4)</f>
        <v>6.77</v>
      </c>
      <c r="M13">
        <f>VLOOKUP(I13,'ST 2016'!$A$2:$F$129,5)</f>
        <v>20.399999999999999</v>
      </c>
      <c r="N13">
        <f>VLOOKUP(I13,'ST 2016'!$A$2:$F$129,6)</f>
        <v>7.53</v>
      </c>
      <c r="O13">
        <v>2016</v>
      </c>
    </row>
    <row r="14" spans="1:15" x14ac:dyDescent="0.2">
      <c r="A14" s="6" t="s">
        <v>33</v>
      </c>
      <c r="B14" s="7">
        <v>69.2</v>
      </c>
      <c r="C14" s="6">
        <v>20.48</v>
      </c>
      <c r="D14" s="6">
        <v>6.63</v>
      </c>
      <c r="E14" s="6">
        <v>21.76</v>
      </c>
      <c r="F14" s="28">
        <v>9.25</v>
      </c>
      <c r="H14">
        <v>13</v>
      </c>
      <c r="I14" t="s">
        <v>70</v>
      </c>
      <c r="J14">
        <f>VLOOKUP(I14,'ST 2016'!$A$2:$F$129,2)</f>
        <v>73.3</v>
      </c>
      <c r="K14">
        <f>VLOOKUP(I14,'ST 2016'!$A$2:$F$129,3)</f>
        <v>19.13</v>
      </c>
      <c r="L14">
        <f>VLOOKUP(I14,'ST 2016'!$A$2:$F$129,4)</f>
        <v>7.75</v>
      </c>
      <c r="M14">
        <f>VLOOKUP(I14,'ST 2016'!$A$2:$F$129,5)</f>
        <v>18.760000000000002</v>
      </c>
      <c r="N14">
        <f>VLOOKUP(I14,'ST 2016'!$A$2:$F$129,6)</f>
        <v>3.45</v>
      </c>
      <c r="O14">
        <v>2016</v>
      </c>
    </row>
    <row r="15" spans="1:15" x14ac:dyDescent="0.2">
      <c r="A15" s="9" t="s">
        <v>79</v>
      </c>
      <c r="B15" s="10">
        <v>75</v>
      </c>
      <c r="C15" s="9">
        <v>22.77</v>
      </c>
      <c r="D15" s="9">
        <v>12.35</v>
      </c>
      <c r="E15" s="9">
        <v>18.440000000000001</v>
      </c>
      <c r="F15" s="29">
        <v>5</v>
      </c>
      <c r="H15">
        <v>14</v>
      </c>
      <c r="I15" t="s">
        <v>108</v>
      </c>
      <c r="J15">
        <f>VLOOKUP(I15,'ST 2016'!$A$2:$F$129,2)</f>
        <v>84</v>
      </c>
      <c r="K15">
        <f>VLOOKUP(I15,'ST 2016'!$A$2:$F$129,3)</f>
        <v>22.31</v>
      </c>
      <c r="L15">
        <f>VLOOKUP(I15,'ST 2016'!$A$2:$F$129,4)</f>
        <v>7.56</v>
      </c>
      <c r="M15">
        <f>VLOOKUP(I15,'ST 2016'!$A$2:$F$129,5)</f>
        <v>23.6</v>
      </c>
      <c r="N15">
        <f>VLOOKUP(I15,'ST 2016'!$A$2:$F$129,6)</f>
        <v>9.7899999999999991</v>
      </c>
      <c r="O15">
        <v>2016</v>
      </c>
    </row>
    <row r="16" spans="1:15" x14ac:dyDescent="0.2">
      <c r="A16" s="6" t="s">
        <v>87</v>
      </c>
      <c r="B16" s="7">
        <v>75</v>
      </c>
      <c r="C16" s="6">
        <v>17.38</v>
      </c>
      <c r="D16" s="6">
        <v>4.95</v>
      </c>
      <c r="E16" s="6">
        <v>15.05</v>
      </c>
      <c r="F16" s="28">
        <v>5.2</v>
      </c>
      <c r="H16">
        <v>15</v>
      </c>
      <c r="I16" t="s">
        <v>29</v>
      </c>
      <c r="J16">
        <f>VLOOKUP(I16,'ST 2016'!$A$2:$F$129,2)</f>
        <v>79.2</v>
      </c>
      <c r="K16">
        <f>VLOOKUP(I16,'ST 2016'!$A$2:$F$129,3)</f>
        <v>20.79</v>
      </c>
      <c r="L16">
        <f>VLOOKUP(I16,'ST 2016'!$A$2:$F$129,4)</f>
        <v>11.25</v>
      </c>
      <c r="M16">
        <f>VLOOKUP(I16,'ST 2016'!$A$2:$F$129,5)</f>
        <v>20.190000000000001</v>
      </c>
      <c r="N16">
        <f>VLOOKUP(I16,'ST 2016'!$A$2:$F$129,6)</f>
        <v>5.5</v>
      </c>
      <c r="O16">
        <v>2016</v>
      </c>
    </row>
    <row r="17" spans="1:15" x14ac:dyDescent="0.2">
      <c r="A17" s="9" t="s">
        <v>66</v>
      </c>
      <c r="B17" s="10">
        <v>61.1</v>
      </c>
      <c r="C17" s="9">
        <v>16.260000000000002</v>
      </c>
      <c r="D17" s="9">
        <v>7.13</v>
      </c>
      <c r="E17" s="9">
        <v>22.23</v>
      </c>
      <c r="F17" s="29">
        <v>11.24</v>
      </c>
      <c r="H17">
        <v>16</v>
      </c>
      <c r="I17" t="s">
        <v>64</v>
      </c>
      <c r="J17">
        <f>VLOOKUP(I17,'ST 2016'!$A$2:$F$129,2)</f>
        <v>71.400000000000006</v>
      </c>
      <c r="K17">
        <f>VLOOKUP(I17,'ST 2016'!$A$2:$F$129,3)</f>
        <v>21.43</v>
      </c>
      <c r="L17">
        <f>VLOOKUP(I17,'ST 2016'!$A$2:$F$129,4)</f>
        <v>7.98</v>
      </c>
      <c r="M17">
        <f>VLOOKUP(I17,'ST 2016'!$A$2:$F$129,5)</f>
        <v>17.899999999999999</v>
      </c>
      <c r="N17">
        <f>VLOOKUP(I17,'ST 2016'!$A$2:$F$129,6)</f>
        <v>4.3600000000000003</v>
      </c>
      <c r="O17">
        <v>2016</v>
      </c>
    </row>
    <row r="18" spans="1:15" x14ac:dyDescent="0.2">
      <c r="A18" s="6" t="s">
        <v>122</v>
      </c>
      <c r="B18" s="7">
        <v>76.900000000000006</v>
      </c>
      <c r="C18" s="6">
        <v>21.21</v>
      </c>
      <c r="D18" s="6">
        <v>8.5</v>
      </c>
      <c r="E18" s="6">
        <v>18.3</v>
      </c>
      <c r="F18" s="28">
        <v>2.5299999999999998</v>
      </c>
      <c r="H18">
        <v>17</v>
      </c>
      <c r="I18" t="s">
        <v>77</v>
      </c>
      <c r="J18">
        <f>VLOOKUP(I18,'ST 2016'!$A$2:$F$129,2)</f>
        <v>65.400000000000006</v>
      </c>
      <c r="K18">
        <f>VLOOKUP(I18,'ST 2016'!$A$2:$F$129,3)</f>
        <v>22.83</v>
      </c>
      <c r="L18">
        <f>VLOOKUP(I18,'ST 2016'!$A$2:$F$129,4)</f>
        <v>9.69</v>
      </c>
      <c r="M18">
        <f>VLOOKUP(I18,'ST 2016'!$A$2:$F$129,5)</f>
        <v>25.81</v>
      </c>
      <c r="N18">
        <f>VLOOKUP(I18,'ST 2016'!$A$2:$F$129,6)</f>
        <v>13.12</v>
      </c>
      <c r="O18">
        <v>2016</v>
      </c>
    </row>
    <row r="19" spans="1:15" x14ac:dyDescent="0.2">
      <c r="A19" s="9" t="s">
        <v>72</v>
      </c>
      <c r="B19" s="10">
        <v>84.6</v>
      </c>
      <c r="C19" s="9">
        <v>20.23</v>
      </c>
      <c r="D19" s="9">
        <v>3.82</v>
      </c>
      <c r="E19" s="9">
        <v>18.02</v>
      </c>
      <c r="F19" s="29">
        <v>11.85</v>
      </c>
      <c r="H19">
        <v>18</v>
      </c>
      <c r="I19" t="s">
        <v>20</v>
      </c>
      <c r="J19">
        <f>VLOOKUP(I19,'ST 2016'!$A$2:$F$129,2)</f>
        <v>66.7</v>
      </c>
      <c r="K19">
        <f>VLOOKUP(I19,'ST 2016'!$A$2:$F$129,3)</f>
        <v>21.16</v>
      </c>
      <c r="L19">
        <f>VLOOKUP(I19,'ST 2016'!$A$2:$F$129,4)</f>
        <v>1.86</v>
      </c>
      <c r="M19">
        <f>VLOOKUP(I19,'ST 2016'!$A$2:$F$129,5)</f>
        <v>22.96</v>
      </c>
      <c r="N19">
        <f>VLOOKUP(I19,'ST 2016'!$A$2:$F$129,6)</f>
        <v>6</v>
      </c>
      <c r="O19">
        <v>2016</v>
      </c>
    </row>
    <row r="20" spans="1:15" x14ac:dyDescent="0.2">
      <c r="A20" s="6" t="s">
        <v>54</v>
      </c>
      <c r="B20" s="7">
        <v>47.1</v>
      </c>
      <c r="C20" s="6">
        <v>19.02</v>
      </c>
      <c r="D20" s="6">
        <v>5.71</v>
      </c>
      <c r="E20" s="6">
        <v>18.02</v>
      </c>
      <c r="F20" s="28">
        <v>5.53</v>
      </c>
      <c r="H20">
        <v>19</v>
      </c>
      <c r="I20" t="s">
        <v>15</v>
      </c>
      <c r="J20">
        <f>VLOOKUP(I20,'ST 2016'!$A$2:$F$129,2)</f>
        <v>76.900000000000006</v>
      </c>
      <c r="K20">
        <f>VLOOKUP(I20,'ST 2016'!$A$2:$F$129,3)</f>
        <v>19.04</v>
      </c>
      <c r="L20">
        <f>VLOOKUP(I20,'ST 2016'!$A$2:$F$129,4)</f>
        <v>9.92</v>
      </c>
      <c r="M20">
        <f>VLOOKUP(I20,'ST 2016'!$A$2:$F$129,5)</f>
        <v>22.21</v>
      </c>
      <c r="N20">
        <f>VLOOKUP(I20,'ST 2016'!$A$2:$F$129,6)</f>
        <v>9.25</v>
      </c>
      <c r="O20">
        <v>2016</v>
      </c>
    </row>
    <row r="21" spans="1:15" x14ac:dyDescent="0.2">
      <c r="A21" s="9" t="s">
        <v>126</v>
      </c>
      <c r="B21" s="10">
        <v>69.2</v>
      </c>
      <c r="C21" s="9">
        <v>19.670000000000002</v>
      </c>
      <c r="D21" s="9">
        <v>2.88</v>
      </c>
      <c r="E21" s="9">
        <v>20.7</v>
      </c>
      <c r="F21" s="29">
        <v>5.95</v>
      </c>
      <c r="H21">
        <v>20</v>
      </c>
      <c r="I21" t="s">
        <v>39</v>
      </c>
      <c r="J21">
        <f>VLOOKUP(I21,'ST 2016'!$A$2:$F$129,2)</f>
        <v>80.8</v>
      </c>
      <c r="K21">
        <f>VLOOKUP(I21,'ST 2016'!$A$2:$F$129,3)</f>
        <v>21.19</v>
      </c>
      <c r="L21">
        <f>VLOOKUP(I21,'ST 2016'!$A$2:$F$129,4)</f>
        <v>11.57</v>
      </c>
      <c r="M21">
        <f>VLOOKUP(I21,'ST 2016'!$A$2:$F$129,5)</f>
        <v>23.12</v>
      </c>
      <c r="N21">
        <f>VLOOKUP(I21,'ST 2016'!$A$2:$F$129,6)</f>
        <v>7.9</v>
      </c>
      <c r="O21">
        <v>2016</v>
      </c>
    </row>
    <row r="22" spans="1:15" x14ac:dyDescent="0.2">
      <c r="A22" s="6" t="s">
        <v>110</v>
      </c>
      <c r="B22" s="7">
        <v>68.400000000000006</v>
      </c>
      <c r="C22" s="6">
        <v>19.89</v>
      </c>
      <c r="D22" s="6">
        <v>6.13</v>
      </c>
      <c r="E22" s="6">
        <v>20.74</v>
      </c>
      <c r="F22" s="28">
        <v>10.62</v>
      </c>
      <c r="H22">
        <v>21</v>
      </c>
      <c r="I22" t="s">
        <v>12</v>
      </c>
      <c r="J22">
        <f>VLOOKUP(I22,'ST 2016'!$A$2:$F$129,2)</f>
        <v>76</v>
      </c>
      <c r="K22">
        <f>VLOOKUP(I22,'ST 2016'!$A$2:$F$129,3)</f>
        <v>20.63</v>
      </c>
      <c r="L22">
        <f>VLOOKUP(I22,'ST 2016'!$A$2:$F$129,4)</f>
        <v>8.1199999999999992</v>
      </c>
      <c r="M22">
        <f>VLOOKUP(I22,'ST 2016'!$A$2:$F$129,5)</f>
        <v>20.85</v>
      </c>
      <c r="N22">
        <f>VLOOKUP(I22,'ST 2016'!$A$2:$F$129,6)</f>
        <v>9.6300000000000008</v>
      </c>
      <c r="O22">
        <v>2016</v>
      </c>
    </row>
    <row r="23" spans="1:15" x14ac:dyDescent="0.2">
      <c r="A23" s="9" t="s">
        <v>24</v>
      </c>
      <c r="B23" s="10">
        <v>73.7</v>
      </c>
      <c r="C23" s="9">
        <v>21.26</v>
      </c>
      <c r="D23" s="9">
        <v>7.94</v>
      </c>
      <c r="E23" s="9">
        <v>19.7</v>
      </c>
      <c r="F23" s="29">
        <v>5.2</v>
      </c>
      <c r="H23">
        <v>22</v>
      </c>
      <c r="I23" t="s">
        <v>117</v>
      </c>
      <c r="J23">
        <f>VLOOKUP(I23,'ST 2016'!$A$2:$F$129,2)</f>
        <v>68.8</v>
      </c>
      <c r="K23">
        <f>VLOOKUP(I23,'ST 2016'!$A$2:$F$129,3)</f>
        <v>24.88</v>
      </c>
      <c r="L23">
        <f>VLOOKUP(I23,'ST 2016'!$A$2:$F$129,4)</f>
        <v>11.12</v>
      </c>
      <c r="M23">
        <f>VLOOKUP(I23,'ST 2016'!$A$2:$F$129,5)</f>
        <v>20.260000000000002</v>
      </c>
      <c r="N23">
        <f>VLOOKUP(I23,'ST 2016'!$A$2:$F$129,6)</f>
        <v>12.67</v>
      </c>
      <c r="O23">
        <v>2016</v>
      </c>
    </row>
    <row r="24" spans="1:15" x14ac:dyDescent="0.2">
      <c r="A24" s="6" t="s">
        <v>77</v>
      </c>
      <c r="B24" s="7">
        <v>65.400000000000006</v>
      </c>
      <c r="C24" s="6">
        <v>22.83</v>
      </c>
      <c r="D24" s="6">
        <v>9.69</v>
      </c>
      <c r="E24" s="6">
        <v>25.81</v>
      </c>
      <c r="F24" s="28">
        <v>13.12</v>
      </c>
      <c r="H24">
        <v>23</v>
      </c>
      <c r="I24" t="s">
        <v>57</v>
      </c>
      <c r="J24">
        <f>VLOOKUP(I24,'ST 2016'!$A$2:$F$129,2)</f>
        <v>84</v>
      </c>
      <c r="K24">
        <f>VLOOKUP(I24,'ST 2016'!$A$2:$F$129,3)</f>
        <v>23.37</v>
      </c>
      <c r="L24">
        <f>VLOOKUP(I24,'ST 2016'!$A$2:$F$129,4)</f>
        <v>7.58</v>
      </c>
      <c r="M24">
        <f>VLOOKUP(I24,'ST 2016'!$A$2:$F$129,5)</f>
        <v>20.56</v>
      </c>
      <c r="N24">
        <f>VLOOKUP(I24,'ST 2016'!$A$2:$F$129,6)</f>
        <v>7.48</v>
      </c>
      <c r="O24">
        <v>2016</v>
      </c>
    </row>
    <row r="25" spans="1:15" x14ac:dyDescent="0.2">
      <c r="A25" s="9" t="s">
        <v>30</v>
      </c>
      <c r="B25" s="10">
        <v>73.3</v>
      </c>
      <c r="C25" s="9">
        <v>20.309999999999999</v>
      </c>
      <c r="D25" s="9">
        <v>8.52</v>
      </c>
      <c r="E25" s="9">
        <v>19.63</v>
      </c>
      <c r="F25" s="29">
        <v>6.65</v>
      </c>
      <c r="H25">
        <v>24</v>
      </c>
      <c r="I25" t="s">
        <v>19</v>
      </c>
      <c r="J25">
        <f>VLOOKUP(I25,'ST 2016'!$A$2:$F$129,2)</f>
        <v>87.5</v>
      </c>
      <c r="K25">
        <f>VLOOKUP(I25,'ST 2016'!$A$2:$F$129,3)</f>
        <v>19.04</v>
      </c>
      <c r="L25">
        <f>VLOOKUP(I25,'ST 2016'!$A$2:$F$129,4)</f>
        <v>10.69</v>
      </c>
      <c r="M25">
        <f>VLOOKUP(I25,'ST 2016'!$A$2:$F$129,5)</f>
        <v>18</v>
      </c>
      <c r="N25">
        <f>VLOOKUP(I25,'ST 2016'!$A$2:$F$129,6)</f>
        <v>3.17</v>
      </c>
      <c r="O25">
        <v>2016</v>
      </c>
    </row>
    <row r="26" spans="1:15" x14ac:dyDescent="0.2">
      <c r="A26" s="6" t="s">
        <v>101</v>
      </c>
      <c r="B26" s="7">
        <v>72.2</v>
      </c>
      <c r="C26" s="6">
        <v>18.97</v>
      </c>
      <c r="D26" s="6">
        <v>7</v>
      </c>
      <c r="E26" s="6">
        <v>18.079999999999998</v>
      </c>
      <c r="F26" s="28">
        <v>9.81</v>
      </c>
      <c r="H26">
        <v>25</v>
      </c>
      <c r="I26" t="s">
        <v>48</v>
      </c>
      <c r="J26">
        <f>VLOOKUP(I26,'ST 2016'!$A$2:$F$129,2)</f>
        <v>91.3</v>
      </c>
      <c r="K26">
        <f>VLOOKUP(I26,'ST 2016'!$A$2:$F$129,3)</f>
        <v>28.11</v>
      </c>
      <c r="L26">
        <f>VLOOKUP(I26,'ST 2016'!$A$2:$F$129,4)</f>
        <v>9.0299999999999994</v>
      </c>
      <c r="M26">
        <f>VLOOKUP(I26,'ST 2016'!$A$2:$F$129,5)</f>
        <v>20.84</v>
      </c>
      <c r="N26">
        <f>VLOOKUP(I26,'ST 2016'!$A$2:$F$129,6)</f>
        <v>9.2100000000000009</v>
      </c>
      <c r="O26">
        <v>2016</v>
      </c>
    </row>
    <row r="27" spans="1:15" x14ac:dyDescent="0.2">
      <c r="A27" s="9" t="s">
        <v>85</v>
      </c>
      <c r="B27" s="10">
        <v>30</v>
      </c>
      <c r="C27" s="9">
        <v>24.55</v>
      </c>
      <c r="D27" s="9">
        <v>8.33</v>
      </c>
      <c r="E27" s="9">
        <v>18.670000000000002</v>
      </c>
      <c r="F27" s="29">
        <v>9.3800000000000008</v>
      </c>
    </row>
    <row r="28" spans="1:15" x14ac:dyDescent="0.2">
      <c r="A28" s="6" t="s">
        <v>89</v>
      </c>
      <c r="B28" s="7">
        <v>72</v>
      </c>
      <c r="C28" s="6">
        <v>18.46</v>
      </c>
      <c r="D28" s="6">
        <v>1.8</v>
      </c>
      <c r="E28" s="6">
        <v>21.87</v>
      </c>
      <c r="F28" s="28">
        <v>11.29</v>
      </c>
    </row>
    <row r="29" spans="1:15" x14ac:dyDescent="0.2">
      <c r="A29" s="9" t="s">
        <v>81</v>
      </c>
      <c r="B29" s="10">
        <v>79.2</v>
      </c>
      <c r="C29" s="9">
        <v>19.98</v>
      </c>
      <c r="D29" s="9">
        <v>3</v>
      </c>
      <c r="E29" s="9">
        <v>19.489999999999998</v>
      </c>
      <c r="F29" s="29">
        <v>7.19</v>
      </c>
    </row>
    <row r="30" spans="1:15" x14ac:dyDescent="0.2">
      <c r="A30" s="6" t="s">
        <v>108</v>
      </c>
      <c r="B30" s="7">
        <v>84</v>
      </c>
      <c r="C30" s="6">
        <v>22.31</v>
      </c>
      <c r="D30" s="6">
        <v>7.56</v>
      </c>
      <c r="E30" s="6">
        <v>23.6</v>
      </c>
      <c r="F30" s="28">
        <v>9.7899999999999991</v>
      </c>
    </row>
    <row r="31" spans="1:15" x14ac:dyDescent="0.2">
      <c r="A31" s="9" t="s">
        <v>9</v>
      </c>
      <c r="B31" s="10">
        <v>71.400000000000006</v>
      </c>
      <c r="C31" s="9">
        <v>22.35</v>
      </c>
      <c r="D31" s="9">
        <v>3.85</v>
      </c>
      <c r="E31" s="9">
        <v>23.06</v>
      </c>
      <c r="F31" s="29">
        <v>9.0500000000000007</v>
      </c>
    </row>
    <row r="32" spans="1:15" x14ac:dyDescent="0.2">
      <c r="A32" s="6" t="s">
        <v>95</v>
      </c>
      <c r="B32" s="7">
        <v>75</v>
      </c>
      <c r="C32" s="6">
        <v>19.84</v>
      </c>
      <c r="D32" s="6">
        <v>9.8699999999999992</v>
      </c>
      <c r="E32" s="6">
        <v>21.98</v>
      </c>
      <c r="F32" s="28">
        <v>10.5</v>
      </c>
    </row>
    <row r="33" spans="1:6" x14ac:dyDescent="0.2">
      <c r="A33" s="9" t="s">
        <v>88</v>
      </c>
      <c r="B33" s="10">
        <v>71.400000000000006</v>
      </c>
      <c r="C33" s="9">
        <v>22.58</v>
      </c>
      <c r="D33" s="9">
        <v>7.41</v>
      </c>
      <c r="E33" s="9">
        <v>18.03</v>
      </c>
      <c r="F33" s="29">
        <v>18.600000000000001</v>
      </c>
    </row>
    <row r="34" spans="1:6" x14ac:dyDescent="0.2">
      <c r="A34" s="6" t="s">
        <v>73</v>
      </c>
      <c r="B34" s="7">
        <v>88.2</v>
      </c>
      <c r="C34" s="6">
        <v>21.39</v>
      </c>
      <c r="D34" s="6">
        <v>6.63</v>
      </c>
      <c r="E34" s="6">
        <v>17.739999999999998</v>
      </c>
      <c r="F34" s="28">
        <v>5.2</v>
      </c>
    </row>
    <row r="35" spans="1:6" x14ac:dyDescent="0.2">
      <c r="A35" s="9" t="s">
        <v>22</v>
      </c>
      <c r="B35" s="10">
        <v>68</v>
      </c>
      <c r="C35" s="9">
        <v>20.170000000000002</v>
      </c>
      <c r="D35" s="9">
        <v>10.65</v>
      </c>
      <c r="E35" s="9">
        <v>23.83</v>
      </c>
      <c r="F35" s="29">
        <v>6.1</v>
      </c>
    </row>
    <row r="36" spans="1:6" x14ac:dyDescent="0.2">
      <c r="A36" s="6" t="s">
        <v>109</v>
      </c>
      <c r="B36" s="7">
        <v>95</v>
      </c>
      <c r="C36" s="6">
        <v>20.12</v>
      </c>
      <c r="D36" s="6">
        <v>12.94</v>
      </c>
      <c r="E36" s="6">
        <v>21.56</v>
      </c>
      <c r="F36" s="28">
        <v>7</v>
      </c>
    </row>
    <row r="37" spans="1:6" x14ac:dyDescent="0.2">
      <c r="A37" s="9" t="s">
        <v>114</v>
      </c>
      <c r="B37" s="10">
        <v>52.9</v>
      </c>
      <c r="C37" s="9">
        <v>23.03</v>
      </c>
      <c r="D37" s="9">
        <v>1.43</v>
      </c>
      <c r="E37" s="9">
        <v>24.94</v>
      </c>
      <c r="F37" s="29">
        <v>12.43</v>
      </c>
    </row>
    <row r="38" spans="1:6" x14ac:dyDescent="0.2">
      <c r="A38" s="6" t="s">
        <v>71</v>
      </c>
      <c r="B38" s="7">
        <v>88.2</v>
      </c>
      <c r="C38" s="6">
        <v>21.41</v>
      </c>
      <c r="D38" s="6">
        <v>10.92</v>
      </c>
      <c r="E38" s="6">
        <v>21.26</v>
      </c>
      <c r="F38" s="28">
        <v>9.36</v>
      </c>
    </row>
    <row r="39" spans="1:6" x14ac:dyDescent="0.2">
      <c r="A39" s="9" t="s">
        <v>105</v>
      </c>
      <c r="B39" s="10">
        <v>100</v>
      </c>
      <c r="C39" s="9">
        <v>21.92</v>
      </c>
      <c r="D39" s="9">
        <v>7.88</v>
      </c>
      <c r="E39" s="9">
        <v>20.25</v>
      </c>
      <c r="F39" s="29">
        <v>10.07</v>
      </c>
    </row>
    <row r="40" spans="1:6" x14ac:dyDescent="0.2">
      <c r="A40" s="6" t="s">
        <v>67</v>
      </c>
      <c r="B40" s="7">
        <v>80</v>
      </c>
      <c r="C40" s="6">
        <v>21.16</v>
      </c>
      <c r="D40" s="6">
        <v>4.0599999999999996</v>
      </c>
      <c r="E40" s="6">
        <v>23.05</v>
      </c>
      <c r="F40" s="28">
        <v>2.62</v>
      </c>
    </row>
    <row r="41" spans="1:6" x14ac:dyDescent="0.2">
      <c r="A41" s="9" t="s">
        <v>115</v>
      </c>
      <c r="B41" s="10">
        <v>89.7</v>
      </c>
      <c r="C41" s="9">
        <v>18.440000000000001</v>
      </c>
      <c r="D41" s="9">
        <v>8.8699999999999992</v>
      </c>
      <c r="E41" s="9">
        <v>17.52</v>
      </c>
      <c r="F41" s="29">
        <v>7.75</v>
      </c>
    </row>
    <row r="42" spans="1:6" x14ac:dyDescent="0.2">
      <c r="A42" s="6" t="s">
        <v>125</v>
      </c>
      <c r="B42" s="7">
        <v>70.599999999999994</v>
      </c>
      <c r="C42" s="6">
        <v>18.850000000000001</v>
      </c>
      <c r="D42" s="6">
        <v>4.3899999999999997</v>
      </c>
      <c r="E42" s="6">
        <v>24.14</v>
      </c>
      <c r="F42" s="28">
        <v>11.38</v>
      </c>
    </row>
    <row r="43" spans="1:6" x14ac:dyDescent="0.2">
      <c r="A43" s="9" t="s">
        <v>76</v>
      </c>
      <c r="B43" s="10">
        <v>61.5</v>
      </c>
      <c r="C43" s="9">
        <v>19.38</v>
      </c>
      <c r="D43" s="9">
        <v>7.46</v>
      </c>
      <c r="E43" s="9">
        <v>19.66</v>
      </c>
      <c r="F43" s="29">
        <v>6.09</v>
      </c>
    </row>
    <row r="44" spans="1:6" x14ac:dyDescent="0.2">
      <c r="A44" s="6" t="s">
        <v>68</v>
      </c>
      <c r="B44" s="7">
        <v>71.400000000000006</v>
      </c>
      <c r="C44" s="6">
        <v>25.97</v>
      </c>
      <c r="D44" s="6">
        <v>12.48</v>
      </c>
      <c r="E44" s="6">
        <v>20.38</v>
      </c>
      <c r="F44" s="28">
        <v>11.17</v>
      </c>
    </row>
    <row r="45" spans="1:6" x14ac:dyDescent="0.2">
      <c r="A45" s="9" t="s">
        <v>52</v>
      </c>
      <c r="B45" s="10">
        <v>94.1</v>
      </c>
      <c r="C45" s="9">
        <v>23.11</v>
      </c>
      <c r="D45" s="9">
        <v>9.42</v>
      </c>
      <c r="E45" s="9">
        <v>20.97</v>
      </c>
      <c r="F45" s="29">
        <v>4.4000000000000004</v>
      </c>
    </row>
    <row r="46" spans="1:6" x14ac:dyDescent="0.2">
      <c r="A46" s="6" t="s">
        <v>118</v>
      </c>
      <c r="B46" s="7">
        <v>68.400000000000006</v>
      </c>
      <c r="C46" s="6">
        <v>18.87</v>
      </c>
      <c r="D46" s="6">
        <v>-1.43</v>
      </c>
      <c r="E46" s="6">
        <v>20.57</v>
      </c>
      <c r="F46" s="28">
        <v>9.64</v>
      </c>
    </row>
    <row r="47" spans="1:6" x14ac:dyDescent="0.2">
      <c r="A47" s="9" t="s">
        <v>36</v>
      </c>
      <c r="B47" s="10">
        <v>78.900000000000006</v>
      </c>
      <c r="C47" s="9">
        <v>26.08</v>
      </c>
      <c r="D47" s="9">
        <v>10.81</v>
      </c>
      <c r="E47" s="9">
        <v>18.399999999999999</v>
      </c>
      <c r="F47" s="29">
        <v>4.1399999999999997</v>
      </c>
    </row>
    <row r="48" spans="1:6" x14ac:dyDescent="0.2">
      <c r="A48" s="6" t="s">
        <v>127</v>
      </c>
      <c r="B48" s="7">
        <v>68.2</v>
      </c>
      <c r="C48" s="6">
        <v>18.75</v>
      </c>
      <c r="D48" s="6">
        <v>5.59</v>
      </c>
      <c r="E48" s="6">
        <v>20.260000000000002</v>
      </c>
      <c r="F48" s="28">
        <v>8.81</v>
      </c>
    </row>
    <row r="49" spans="1:6" x14ac:dyDescent="0.2">
      <c r="A49" s="9" t="s">
        <v>86</v>
      </c>
      <c r="B49" s="10">
        <v>84.2</v>
      </c>
      <c r="C49" s="9">
        <v>22.13</v>
      </c>
      <c r="D49" s="9">
        <v>8.19</v>
      </c>
      <c r="E49" s="9">
        <v>19.55</v>
      </c>
      <c r="F49" s="29">
        <v>5.43</v>
      </c>
    </row>
    <row r="50" spans="1:6" x14ac:dyDescent="0.2">
      <c r="A50" s="6" t="s">
        <v>65</v>
      </c>
      <c r="B50" s="7">
        <v>81.5</v>
      </c>
      <c r="C50" s="6">
        <v>25.19</v>
      </c>
      <c r="D50" s="6">
        <v>10.47</v>
      </c>
      <c r="E50" s="6">
        <v>21.99</v>
      </c>
      <c r="F50" s="28">
        <v>15</v>
      </c>
    </row>
    <row r="51" spans="1:6" x14ac:dyDescent="0.2">
      <c r="A51" s="9" t="s">
        <v>58</v>
      </c>
      <c r="B51" s="10">
        <v>79.2</v>
      </c>
      <c r="C51" s="9">
        <v>17.75</v>
      </c>
      <c r="D51" s="9">
        <v>5.44</v>
      </c>
      <c r="E51" s="9">
        <v>16.489999999999998</v>
      </c>
      <c r="F51" s="29">
        <v>24.38</v>
      </c>
    </row>
    <row r="52" spans="1:6" x14ac:dyDescent="0.2">
      <c r="A52" s="6" t="s">
        <v>21</v>
      </c>
      <c r="B52" s="7">
        <v>69.2</v>
      </c>
      <c r="C52" s="6">
        <v>21.09</v>
      </c>
      <c r="D52" s="6">
        <v>8.17</v>
      </c>
      <c r="E52" s="6">
        <v>23.05</v>
      </c>
      <c r="F52" s="28">
        <v>7.94</v>
      </c>
    </row>
    <row r="53" spans="1:6" x14ac:dyDescent="0.2">
      <c r="A53" s="9" t="s">
        <v>12</v>
      </c>
      <c r="B53" s="10">
        <v>76</v>
      </c>
      <c r="C53" s="9">
        <v>20.63</v>
      </c>
      <c r="D53" s="9">
        <v>8.1199999999999992</v>
      </c>
      <c r="E53" s="9">
        <v>20.85</v>
      </c>
      <c r="F53" s="29">
        <v>9.6300000000000008</v>
      </c>
    </row>
    <row r="54" spans="1:6" x14ac:dyDescent="0.2">
      <c r="A54" s="6" t="s">
        <v>70</v>
      </c>
      <c r="B54" s="7">
        <v>73.3</v>
      </c>
      <c r="C54" s="6">
        <v>19.13</v>
      </c>
      <c r="D54" s="6">
        <v>7.75</v>
      </c>
      <c r="E54" s="6">
        <v>18.760000000000002</v>
      </c>
      <c r="F54" s="28">
        <v>3.45</v>
      </c>
    </row>
    <row r="55" spans="1:6" x14ac:dyDescent="0.2">
      <c r="A55" s="9" t="s">
        <v>78</v>
      </c>
      <c r="B55" s="10">
        <v>40</v>
      </c>
      <c r="C55" s="9">
        <v>21.32</v>
      </c>
      <c r="D55" s="9">
        <v>8.7100000000000009</v>
      </c>
      <c r="E55" s="9">
        <v>21.41</v>
      </c>
      <c r="F55" s="29">
        <v>9</v>
      </c>
    </row>
    <row r="56" spans="1:6" x14ac:dyDescent="0.2">
      <c r="A56" s="6" t="s">
        <v>97</v>
      </c>
      <c r="B56" s="7">
        <v>66.7</v>
      </c>
      <c r="C56" s="6">
        <v>20.81</v>
      </c>
      <c r="D56" s="6">
        <v>8.92</v>
      </c>
      <c r="E56" s="6">
        <v>18.309999999999999</v>
      </c>
      <c r="F56" s="28">
        <v>5</v>
      </c>
    </row>
    <row r="57" spans="1:6" x14ac:dyDescent="0.2">
      <c r="A57" s="9" t="s">
        <v>60</v>
      </c>
      <c r="B57" s="10">
        <v>63.6</v>
      </c>
      <c r="C57" s="9">
        <v>20.56</v>
      </c>
      <c r="D57" s="9">
        <v>7.85</v>
      </c>
      <c r="E57" s="9">
        <v>22.37</v>
      </c>
      <c r="F57" s="29">
        <v>6.94</v>
      </c>
    </row>
    <row r="58" spans="1:6" x14ac:dyDescent="0.2">
      <c r="A58" s="6" t="s">
        <v>1</v>
      </c>
      <c r="B58" s="7">
        <v>80.8</v>
      </c>
      <c r="C58" s="6">
        <v>26.57</v>
      </c>
      <c r="D58" s="6">
        <v>8.33</v>
      </c>
      <c r="E58" s="6">
        <v>16.04</v>
      </c>
      <c r="F58" s="28">
        <v>9.43</v>
      </c>
    </row>
    <row r="59" spans="1:6" x14ac:dyDescent="0.2">
      <c r="A59" s="9" t="s">
        <v>39</v>
      </c>
      <c r="B59" s="10">
        <v>80.8</v>
      </c>
      <c r="C59" s="9">
        <v>21.19</v>
      </c>
      <c r="D59" s="9">
        <v>11.57</v>
      </c>
      <c r="E59" s="9">
        <v>23.12</v>
      </c>
      <c r="F59" s="29">
        <v>7.9</v>
      </c>
    </row>
    <row r="60" spans="1:6" x14ac:dyDescent="0.2">
      <c r="A60" s="6" t="s">
        <v>93</v>
      </c>
      <c r="B60" s="7">
        <v>68.8</v>
      </c>
      <c r="C60" s="6">
        <v>19.41</v>
      </c>
      <c r="D60" s="6">
        <v>3</v>
      </c>
      <c r="E60" s="6">
        <v>21.12</v>
      </c>
      <c r="F60" s="28">
        <v>7.89</v>
      </c>
    </row>
    <row r="61" spans="1:6" x14ac:dyDescent="0.2">
      <c r="A61" s="9" t="s">
        <v>84</v>
      </c>
      <c r="B61" s="10">
        <v>79.2</v>
      </c>
      <c r="C61" s="9">
        <v>18.690000000000001</v>
      </c>
      <c r="D61" s="9">
        <v>14.28</v>
      </c>
      <c r="E61" s="9">
        <v>22.1</v>
      </c>
      <c r="F61" s="29">
        <v>6.52</v>
      </c>
    </row>
    <row r="62" spans="1:6" x14ac:dyDescent="0.2">
      <c r="A62" s="6" t="s">
        <v>104</v>
      </c>
      <c r="B62" s="7">
        <v>78.900000000000006</v>
      </c>
      <c r="C62" s="6">
        <v>20.7</v>
      </c>
      <c r="D62" s="6">
        <v>6.95</v>
      </c>
      <c r="E62" s="6">
        <v>21.87</v>
      </c>
      <c r="F62" s="28">
        <v>5.44</v>
      </c>
    </row>
    <row r="63" spans="1:6" x14ac:dyDescent="0.2">
      <c r="A63" s="9" t="s">
        <v>91</v>
      </c>
      <c r="B63" s="10">
        <v>84.2</v>
      </c>
      <c r="C63" s="9">
        <v>18.97</v>
      </c>
      <c r="D63" s="9">
        <v>7.71</v>
      </c>
      <c r="E63" s="9">
        <v>21</v>
      </c>
      <c r="F63" s="29">
        <v>4.25</v>
      </c>
    </row>
    <row r="64" spans="1:6" x14ac:dyDescent="0.2">
      <c r="A64" s="6" t="s">
        <v>107</v>
      </c>
      <c r="B64" s="7">
        <v>91.7</v>
      </c>
      <c r="C64" s="6">
        <v>23.79</v>
      </c>
      <c r="D64" s="6">
        <v>5.67</v>
      </c>
      <c r="E64" s="6">
        <v>18.16</v>
      </c>
      <c r="F64" s="28">
        <v>4.16</v>
      </c>
    </row>
    <row r="65" spans="1:6" x14ac:dyDescent="0.2">
      <c r="A65" s="9" t="s">
        <v>34</v>
      </c>
      <c r="B65" s="10">
        <v>95.7</v>
      </c>
      <c r="C65" s="9">
        <v>22.68</v>
      </c>
      <c r="D65" s="9">
        <v>6</v>
      </c>
      <c r="E65" s="9">
        <v>20.47</v>
      </c>
      <c r="F65" s="29">
        <v>11.8</v>
      </c>
    </row>
    <row r="66" spans="1:6" x14ac:dyDescent="0.2">
      <c r="A66" s="6" t="s">
        <v>35</v>
      </c>
      <c r="B66" s="7">
        <v>57.9</v>
      </c>
      <c r="C66" s="6">
        <v>20.67</v>
      </c>
      <c r="D66" s="6">
        <v>4</v>
      </c>
      <c r="E66" s="6">
        <v>20.07</v>
      </c>
      <c r="F66" s="28">
        <v>14.78</v>
      </c>
    </row>
    <row r="67" spans="1:6" x14ac:dyDescent="0.2">
      <c r="A67" s="9" t="s">
        <v>10</v>
      </c>
      <c r="B67" s="10">
        <v>46.2</v>
      </c>
      <c r="C67" s="9">
        <v>18.86</v>
      </c>
      <c r="D67" s="9">
        <v>11.27</v>
      </c>
      <c r="E67" s="9">
        <v>25.76</v>
      </c>
      <c r="F67" s="29">
        <v>5.55</v>
      </c>
    </row>
    <row r="68" spans="1:6" x14ac:dyDescent="0.2">
      <c r="A68" s="6" t="s">
        <v>49</v>
      </c>
      <c r="B68" s="7">
        <v>80</v>
      </c>
      <c r="C68" s="6">
        <v>23.15</v>
      </c>
      <c r="D68" s="6">
        <v>9.73</v>
      </c>
      <c r="E68" s="6">
        <v>17.079999999999998</v>
      </c>
      <c r="F68" s="28">
        <v>12.6</v>
      </c>
    </row>
    <row r="69" spans="1:6" x14ac:dyDescent="0.2">
      <c r="A69" s="9" t="s">
        <v>83</v>
      </c>
      <c r="B69" s="10">
        <v>80</v>
      </c>
      <c r="C69" s="9">
        <v>21.47</v>
      </c>
      <c r="D69" s="9">
        <v>7.3</v>
      </c>
      <c r="E69" s="9">
        <v>22.11</v>
      </c>
      <c r="F69" s="29">
        <v>10.67</v>
      </c>
    </row>
    <row r="70" spans="1:6" x14ac:dyDescent="0.2">
      <c r="A70" s="6" t="s">
        <v>69</v>
      </c>
      <c r="B70" s="7">
        <v>64.7</v>
      </c>
      <c r="C70" s="6">
        <v>20.39</v>
      </c>
      <c r="D70" s="6">
        <v>11.22</v>
      </c>
      <c r="E70" s="6">
        <v>19</v>
      </c>
      <c r="F70" s="28">
        <v>9.77</v>
      </c>
    </row>
    <row r="71" spans="1:6" x14ac:dyDescent="0.2">
      <c r="A71" s="9" t="s">
        <v>111</v>
      </c>
      <c r="B71" s="10">
        <v>92.3</v>
      </c>
      <c r="C71" s="9">
        <v>22.74</v>
      </c>
      <c r="D71" s="9">
        <v>6.82</v>
      </c>
      <c r="E71" s="9">
        <v>23.62</v>
      </c>
      <c r="F71" s="29">
        <v>8.5</v>
      </c>
    </row>
    <row r="72" spans="1:6" x14ac:dyDescent="0.2">
      <c r="A72" s="6" t="s">
        <v>50</v>
      </c>
      <c r="B72" s="7">
        <v>78.900000000000006</v>
      </c>
      <c r="C72" s="6">
        <v>17.54</v>
      </c>
      <c r="D72" s="6">
        <v>3.17</v>
      </c>
      <c r="E72" s="6">
        <v>26.48</v>
      </c>
      <c r="F72" s="28">
        <v>15.7</v>
      </c>
    </row>
    <row r="73" spans="1:6" x14ac:dyDescent="0.2">
      <c r="A73" s="9" t="s">
        <v>82</v>
      </c>
      <c r="B73" s="10">
        <v>71.400000000000006</v>
      </c>
      <c r="C73" s="9">
        <v>26.97</v>
      </c>
      <c r="D73" s="9">
        <v>7.88</v>
      </c>
      <c r="E73" s="9">
        <v>22.79</v>
      </c>
      <c r="F73" s="29">
        <v>0.22</v>
      </c>
    </row>
    <row r="74" spans="1:6" x14ac:dyDescent="0.2">
      <c r="A74" s="6" t="s">
        <v>46</v>
      </c>
      <c r="B74" s="7">
        <v>52.9</v>
      </c>
      <c r="C74" s="6">
        <v>23.19</v>
      </c>
      <c r="D74" s="6">
        <v>8.8000000000000007</v>
      </c>
      <c r="E74" s="6">
        <v>20.399999999999999</v>
      </c>
      <c r="F74" s="28">
        <v>14.89</v>
      </c>
    </row>
    <row r="75" spans="1:6" x14ac:dyDescent="0.2">
      <c r="A75" s="9" t="s">
        <v>16</v>
      </c>
      <c r="B75" s="10">
        <v>69.2</v>
      </c>
      <c r="C75" s="9">
        <v>19.52</v>
      </c>
      <c r="D75" s="9">
        <v>9.06</v>
      </c>
      <c r="E75" s="9">
        <v>21.76</v>
      </c>
      <c r="F75" s="29">
        <v>9.0399999999999991</v>
      </c>
    </row>
    <row r="76" spans="1:6" x14ac:dyDescent="0.2">
      <c r="A76" s="6" t="s">
        <v>51</v>
      </c>
      <c r="B76" s="7">
        <v>61.1</v>
      </c>
      <c r="C76" s="6">
        <v>22.98</v>
      </c>
      <c r="D76" s="6">
        <v>4.12</v>
      </c>
      <c r="E76" s="6">
        <v>21.18</v>
      </c>
      <c r="F76" s="28">
        <v>3.88</v>
      </c>
    </row>
    <row r="77" spans="1:6" x14ac:dyDescent="0.2">
      <c r="A77" s="9" t="s">
        <v>55</v>
      </c>
      <c r="B77" s="10">
        <v>66.7</v>
      </c>
      <c r="C77" s="9">
        <v>23.14</v>
      </c>
      <c r="D77" s="9">
        <v>6.6</v>
      </c>
      <c r="E77" s="9">
        <v>20.88</v>
      </c>
      <c r="F77" s="29">
        <v>9.5399999999999991</v>
      </c>
    </row>
    <row r="78" spans="1:6" x14ac:dyDescent="0.2">
      <c r="A78" s="6" t="s">
        <v>23</v>
      </c>
      <c r="B78" s="7">
        <v>76.5</v>
      </c>
      <c r="C78" s="6">
        <v>23.08</v>
      </c>
      <c r="D78" s="6">
        <v>9.1</v>
      </c>
      <c r="E78" s="6">
        <v>22.26</v>
      </c>
      <c r="F78" s="28">
        <v>15.05</v>
      </c>
    </row>
    <row r="79" spans="1:6" x14ac:dyDescent="0.2">
      <c r="A79" s="9" t="s">
        <v>13</v>
      </c>
      <c r="B79" s="10">
        <v>82.9</v>
      </c>
      <c r="C79" s="9">
        <v>21.07</v>
      </c>
      <c r="D79" s="9">
        <v>4.74</v>
      </c>
      <c r="E79" s="9">
        <v>19.239999999999998</v>
      </c>
      <c r="F79" s="29">
        <v>4.6100000000000003</v>
      </c>
    </row>
    <row r="80" spans="1:6" x14ac:dyDescent="0.2">
      <c r="A80" s="6" t="s">
        <v>4</v>
      </c>
      <c r="B80" s="7">
        <v>77.3</v>
      </c>
      <c r="C80" s="6">
        <v>24.36</v>
      </c>
      <c r="D80" s="6">
        <v>5.15</v>
      </c>
      <c r="E80" s="6">
        <v>18.920000000000002</v>
      </c>
      <c r="F80" s="28">
        <v>3.93</v>
      </c>
    </row>
    <row r="81" spans="1:6" x14ac:dyDescent="0.2">
      <c r="A81" s="9" t="s">
        <v>3</v>
      </c>
      <c r="B81" s="10">
        <v>68.8</v>
      </c>
      <c r="C81" s="9">
        <v>23.29</v>
      </c>
      <c r="D81" s="9">
        <v>10.17</v>
      </c>
      <c r="E81" s="9">
        <v>21.76</v>
      </c>
      <c r="F81" s="29">
        <v>7.44</v>
      </c>
    </row>
    <row r="82" spans="1:6" x14ac:dyDescent="0.2">
      <c r="A82" s="6" t="s">
        <v>2</v>
      </c>
      <c r="B82" s="7">
        <v>76.900000000000006</v>
      </c>
      <c r="C82" s="6">
        <v>20.63</v>
      </c>
      <c r="D82" s="6">
        <v>10.86</v>
      </c>
      <c r="E82" s="6">
        <v>17.940000000000001</v>
      </c>
      <c r="F82" s="28">
        <v>0.94</v>
      </c>
    </row>
    <row r="83" spans="1:6" x14ac:dyDescent="0.2">
      <c r="A83" s="9" t="s">
        <v>113</v>
      </c>
      <c r="B83" s="10">
        <v>85.7</v>
      </c>
      <c r="C83" s="9">
        <v>22.03</v>
      </c>
      <c r="D83" s="9">
        <v>9.27</v>
      </c>
      <c r="E83" s="9">
        <v>17.07</v>
      </c>
      <c r="F83" s="29">
        <v>16.63</v>
      </c>
    </row>
    <row r="84" spans="1:6" x14ac:dyDescent="0.2">
      <c r="A84" s="6" t="s">
        <v>18</v>
      </c>
      <c r="B84" s="7">
        <v>75</v>
      </c>
      <c r="C84" s="6">
        <v>23.67</v>
      </c>
      <c r="D84" s="6">
        <v>7.55</v>
      </c>
      <c r="E84" s="6">
        <v>20.52</v>
      </c>
      <c r="F84" s="28">
        <v>7.94</v>
      </c>
    </row>
    <row r="85" spans="1:6" x14ac:dyDescent="0.2">
      <c r="A85" s="9" t="s">
        <v>112</v>
      </c>
      <c r="B85" s="10">
        <v>61.1</v>
      </c>
      <c r="C85" s="9">
        <v>22.84</v>
      </c>
      <c r="D85" s="9">
        <v>6</v>
      </c>
      <c r="E85" s="9">
        <v>18.36</v>
      </c>
      <c r="F85" s="29">
        <v>3.61</v>
      </c>
    </row>
    <row r="86" spans="1:6" x14ac:dyDescent="0.2">
      <c r="A86" s="6" t="s">
        <v>6</v>
      </c>
      <c r="B86" s="7">
        <v>91.7</v>
      </c>
      <c r="C86" s="6">
        <v>19.690000000000001</v>
      </c>
      <c r="D86" s="6">
        <v>6.47</v>
      </c>
      <c r="E86" s="6">
        <v>18.82</v>
      </c>
      <c r="F86" s="28">
        <v>6.95</v>
      </c>
    </row>
    <row r="87" spans="1:6" x14ac:dyDescent="0.2">
      <c r="A87" s="9" t="s">
        <v>99</v>
      </c>
      <c r="B87" s="10">
        <v>58.8</v>
      </c>
      <c r="C87" s="9">
        <v>26.59</v>
      </c>
      <c r="D87" s="9">
        <v>14.88</v>
      </c>
      <c r="E87" s="9">
        <v>19.649999999999999</v>
      </c>
      <c r="F87" s="29">
        <v>8.14</v>
      </c>
    </row>
    <row r="88" spans="1:6" x14ac:dyDescent="0.2">
      <c r="A88" s="6" t="s">
        <v>96</v>
      </c>
      <c r="B88" s="7">
        <v>71.400000000000006</v>
      </c>
      <c r="C88" s="6">
        <v>20.39</v>
      </c>
      <c r="D88" s="6">
        <v>7.58</v>
      </c>
      <c r="E88" s="6">
        <v>16.89</v>
      </c>
      <c r="F88" s="28">
        <v>3.21</v>
      </c>
    </row>
    <row r="89" spans="1:6" x14ac:dyDescent="0.2">
      <c r="A89" s="9" t="s">
        <v>123</v>
      </c>
      <c r="B89" s="10">
        <v>66.7</v>
      </c>
      <c r="C89" s="9">
        <v>19.64</v>
      </c>
      <c r="D89" s="9">
        <v>2.76</v>
      </c>
      <c r="E89" s="9">
        <v>23.29</v>
      </c>
      <c r="F89" s="29">
        <v>6.2</v>
      </c>
    </row>
    <row r="90" spans="1:6" x14ac:dyDescent="0.2">
      <c r="A90" s="6" t="s">
        <v>119</v>
      </c>
      <c r="B90" s="7">
        <v>71.400000000000006</v>
      </c>
      <c r="C90" s="6">
        <v>19.05</v>
      </c>
      <c r="D90" s="6">
        <v>7.64</v>
      </c>
      <c r="E90" s="6">
        <v>22.59</v>
      </c>
      <c r="F90" s="28">
        <v>10.46</v>
      </c>
    </row>
    <row r="91" spans="1:6" x14ac:dyDescent="0.2">
      <c r="A91" s="9" t="s">
        <v>48</v>
      </c>
      <c r="B91" s="10">
        <v>91.3</v>
      </c>
      <c r="C91" s="9">
        <v>28.11</v>
      </c>
      <c r="D91" s="9">
        <v>9.0299999999999994</v>
      </c>
      <c r="E91" s="9">
        <v>20.84</v>
      </c>
      <c r="F91" s="29">
        <v>9.2100000000000009</v>
      </c>
    </row>
    <row r="92" spans="1:6" x14ac:dyDescent="0.2">
      <c r="A92" s="6" t="s">
        <v>124</v>
      </c>
      <c r="B92" s="7">
        <v>88.9</v>
      </c>
      <c r="C92" s="6">
        <v>19.43</v>
      </c>
      <c r="D92" s="6">
        <v>6.5</v>
      </c>
      <c r="E92" s="6">
        <v>19.5</v>
      </c>
      <c r="F92" s="28">
        <v>13.39</v>
      </c>
    </row>
    <row r="93" spans="1:6" x14ac:dyDescent="0.2">
      <c r="A93" s="9" t="s">
        <v>7</v>
      </c>
      <c r="B93" s="10">
        <v>75</v>
      </c>
      <c r="C93" s="9">
        <v>17.600000000000001</v>
      </c>
      <c r="D93" s="9">
        <v>3.69</v>
      </c>
      <c r="E93" s="9">
        <v>23.79</v>
      </c>
      <c r="F93" s="29">
        <v>9.32</v>
      </c>
    </row>
    <row r="94" spans="1:6" x14ac:dyDescent="0.2">
      <c r="A94" s="6" t="s">
        <v>116</v>
      </c>
      <c r="B94" s="7">
        <v>62.5</v>
      </c>
      <c r="C94" s="6">
        <v>19.82</v>
      </c>
      <c r="D94" s="6">
        <v>4.18</v>
      </c>
      <c r="E94" s="6">
        <v>21.64</v>
      </c>
      <c r="F94" s="28">
        <v>2</v>
      </c>
    </row>
    <row r="95" spans="1:6" x14ac:dyDescent="0.2">
      <c r="A95" s="9" t="s">
        <v>98</v>
      </c>
      <c r="B95" s="10">
        <v>76.5</v>
      </c>
      <c r="C95" s="9">
        <v>25.78</v>
      </c>
      <c r="D95" s="9">
        <v>6.36</v>
      </c>
      <c r="E95" s="9">
        <v>28.67</v>
      </c>
      <c r="F95" s="29">
        <v>9.58</v>
      </c>
    </row>
    <row r="96" spans="1:6" x14ac:dyDescent="0.2">
      <c r="A96" s="6" t="s">
        <v>15</v>
      </c>
      <c r="B96" s="7">
        <v>76.900000000000006</v>
      </c>
      <c r="C96" s="6">
        <v>19.04</v>
      </c>
      <c r="D96" s="6">
        <v>9.92</v>
      </c>
      <c r="E96" s="6">
        <v>22.21</v>
      </c>
      <c r="F96" s="28">
        <v>9.25</v>
      </c>
    </row>
    <row r="97" spans="1:6" x14ac:dyDescent="0.2">
      <c r="A97" s="9" t="s">
        <v>47</v>
      </c>
      <c r="B97" s="10">
        <v>83.3</v>
      </c>
      <c r="C97" s="9">
        <v>17.760000000000002</v>
      </c>
      <c r="D97" s="9">
        <v>9.33</v>
      </c>
      <c r="E97" s="9">
        <v>22.27</v>
      </c>
      <c r="F97" s="29">
        <v>5.38</v>
      </c>
    </row>
    <row r="98" spans="1:6" x14ac:dyDescent="0.2">
      <c r="A98" s="6" t="s">
        <v>37</v>
      </c>
      <c r="B98" s="7">
        <v>81.5</v>
      </c>
      <c r="C98" s="6">
        <v>14.84</v>
      </c>
      <c r="D98" s="6">
        <v>6.77</v>
      </c>
      <c r="E98" s="6">
        <v>20.399999999999999</v>
      </c>
      <c r="F98" s="28">
        <v>7.53</v>
      </c>
    </row>
    <row r="99" spans="1:6" x14ac:dyDescent="0.2">
      <c r="A99" s="9" t="s">
        <v>75</v>
      </c>
      <c r="B99" s="10">
        <v>55.6</v>
      </c>
      <c r="C99" s="9">
        <v>20.2</v>
      </c>
      <c r="D99" s="9">
        <v>17.39</v>
      </c>
      <c r="E99" s="9">
        <v>24.2</v>
      </c>
      <c r="F99" s="29">
        <v>8.11</v>
      </c>
    </row>
    <row r="100" spans="1:6" x14ac:dyDescent="0.2">
      <c r="A100" s="6" t="s">
        <v>27</v>
      </c>
      <c r="B100" s="7">
        <v>72</v>
      </c>
      <c r="C100" s="6">
        <v>23.84</v>
      </c>
      <c r="D100" s="6">
        <v>9.8699999999999992</v>
      </c>
      <c r="E100" s="6">
        <v>19</v>
      </c>
      <c r="F100" s="28">
        <v>3.95</v>
      </c>
    </row>
    <row r="101" spans="1:6" x14ac:dyDescent="0.2">
      <c r="A101" s="9" t="s">
        <v>90</v>
      </c>
      <c r="B101" s="10">
        <v>86.2</v>
      </c>
      <c r="C101" s="9">
        <v>21.89</v>
      </c>
      <c r="D101" s="9">
        <v>10.56</v>
      </c>
      <c r="E101" s="9">
        <v>21.45</v>
      </c>
      <c r="F101" s="29">
        <v>3.71</v>
      </c>
    </row>
    <row r="102" spans="1:6" x14ac:dyDescent="0.2">
      <c r="A102" s="6" t="s">
        <v>117</v>
      </c>
      <c r="B102" s="7">
        <v>68.8</v>
      </c>
      <c r="C102" s="6">
        <v>24.88</v>
      </c>
      <c r="D102" s="6">
        <v>11.12</v>
      </c>
      <c r="E102" s="6">
        <v>20.260000000000002</v>
      </c>
      <c r="F102" s="28">
        <v>12.67</v>
      </c>
    </row>
    <row r="103" spans="1:6" x14ac:dyDescent="0.2">
      <c r="A103" s="9" t="s">
        <v>61</v>
      </c>
      <c r="B103" s="10">
        <v>70.8</v>
      </c>
      <c r="C103" s="9">
        <v>18.399999999999999</v>
      </c>
      <c r="D103" s="9">
        <v>6.5</v>
      </c>
      <c r="E103" s="9">
        <v>21.14</v>
      </c>
      <c r="F103" s="29">
        <v>4.8899999999999997</v>
      </c>
    </row>
    <row r="104" spans="1:6" x14ac:dyDescent="0.2">
      <c r="A104" s="6" t="s">
        <v>43</v>
      </c>
      <c r="B104" s="7">
        <v>70.8</v>
      </c>
      <c r="C104" s="6">
        <v>23.59</v>
      </c>
      <c r="D104" s="6">
        <v>25.36</v>
      </c>
      <c r="E104" s="6">
        <v>19.86</v>
      </c>
      <c r="F104" s="28">
        <v>5.2</v>
      </c>
    </row>
    <row r="105" spans="1:6" x14ac:dyDescent="0.2">
      <c r="A105" s="9" t="s">
        <v>121</v>
      </c>
      <c r="B105" s="10">
        <v>70</v>
      </c>
      <c r="C105" s="9">
        <v>16.760000000000002</v>
      </c>
      <c r="D105" s="9">
        <v>9.76</v>
      </c>
      <c r="E105" s="9">
        <v>22.64</v>
      </c>
      <c r="F105" s="29">
        <v>6.78</v>
      </c>
    </row>
    <row r="106" spans="1:6" x14ac:dyDescent="0.2">
      <c r="A106" s="6" t="s">
        <v>28</v>
      </c>
      <c r="B106" s="7">
        <v>92.9</v>
      </c>
      <c r="C106" s="6">
        <v>16.86</v>
      </c>
      <c r="D106" s="6">
        <v>9.5</v>
      </c>
      <c r="E106" s="6">
        <v>22.61</v>
      </c>
      <c r="F106" s="28">
        <v>8.4</v>
      </c>
    </row>
    <row r="107" spans="1:6" x14ac:dyDescent="0.2">
      <c r="A107" s="9" t="s">
        <v>14</v>
      </c>
      <c r="B107" s="10">
        <v>68.400000000000006</v>
      </c>
      <c r="C107" s="9">
        <v>18.579999999999998</v>
      </c>
      <c r="D107" s="9">
        <v>9.8800000000000008</v>
      </c>
      <c r="E107" s="9">
        <v>19.649999999999999</v>
      </c>
      <c r="F107" s="29">
        <v>6.6</v>
      </c>
    </row>
    <row r="108" spans="1:6" x14ac:dyDescent="0.2">
      <c r="A108" s="6" t="s">
        <v>53</v>
      </c>
      <c r="B108" s="7">
        <v>78.3</v>
      </c>
      <c r="C108" s="6">
        <v>22.46</v>
      </c>
      <c r="D108" s="6">
        <v>9.0500000000000007</v>
      </c>
      <c r="E108" s="6">
        <v>17.690000000000001</v>
      </c>
      <c r="F108" s="28">
        <v>7.47</v>
      </c>
    </row>
    <row r="109" spans="1:6" x14ac:dyDescent="0.2">
      <c r="A109" s="9" t="s">
        <v>74</v>
      </c>
      <c r="B109" s="10">
        <v>62.5</v>
      </c>
      <c r="C109" s="9">
        <v>22.25</v>
      </c>
      <c r="D109" s="9">
        <v>4.13</v>
      </c>
      <c r="E109" s="9">
        <v>17.399999999999999</v>
      </c>
      <c r="F109" s="29">
        <v>2.0699999999999998</v>
      </c>
    </row>
    <row r="110" spans="1:6" x14ac:dyDescent="0.2">
      <c r="A110" s="6" t="s">
        <v>59</v>
      </c>
      <c r="B110" s="7">
        <v>80.8</v>
      </c>
      <c r="C110" s="6">
        <v>20.25</v>
      </c>
      <c r="D110" s="6">
        <v>8.9600000000000009</v>
      </c>
      <c r="E110" s="6">
        <v>23.7</v>
      </c>
      <c r="F110" s="28">
        <v>8.2899999999999991</v>
      </c>
    </row>
    <row r="111" spans="1:6" x14ac:dyDescent="0.2">
      <c r="A111" s="9" t="s">
        <v>0</v>
      </c>
      <c r="B111" s="10">
        <v>77.3</v>
      </c>
      <c r="C111" s="9">
        <v>20.95</v>
      </c>
      <c r="D111" s="9">
        <v>7.52</v>
      </c>
      <c r="E111" s="9">
        <v>20.03</v>
      </c>
      <c r="F111" s="29">
        <v>10.61</v>
      </c>
    </row>
    <row r="112" spans="1:6" x14ac:dyDescent="0.2">
      <c r="A112" s="6" t="s">
        <v>31</v>
      </c>
      <c r="B112" s="7">
        <v>59.1</v>
      </c>
      <c r="C112" s="6">
        <v>21.1</v>
      </c>
      <c r="D112" s="6">
        <v>6.5</v>
      </c>
      <c r="E112" s="6">
        <v>25.16</v>
      </c>
      <c r="F112" s="28">
        <v>11.22</v>
      </c>
    </row>
    <row r="113" spans="1:6" x14ac:dyDescent="0.2">
      <c r="A113" s="9" t="s">
        <v>62</v>
      </c>
      <c r="B113" s="10">
        <v>93.3</v>
      </c>
      <c r="C113" s="9">
        <v>18.940000000000001</v>
      </c>
      <c r="D113" s="9">
        <v>-0.08</v>
      </c>
      <c r="E113" s="9">
        <v>25.05</v>
      </c>
      <c r="F113" s="29">
        <v>11.75</v>
      </c>
    </row>
    <row r="114" spans="1:6" x14ac:dyDescent="0.2">
      <c r="A114" s="6" t="s">
        <v>26</v>
      </c>
      <c r="B114" s="7">
        <v>72</v>
      </c>
      <c r="C114" s="6">
        <v>23.23</v>
      </c>
      <c r="D114" s="6">
        <v>15.33</v>
      </c>
      <c r="E114" s="6">
        <v>19.28</v>
      </c>
      <c r="F114" s="28">
        <v>6.25</v>
      </c>
    </row>
    <row r="115" spans="1:6" x14ac:dyDescent="0.2">
      <c r="A115" s="9" t="s">
        <v>57</v>
      </c>
      <c r="B115" s="10">
        <v>84</v>
      </c>
      <c r="C115" s="9">
        <v>23.37</v>
      </c>
      <c r="D115" s="9">
        <v>7.58</v>
      </c>
      <c r="E115" s="9">
        <v>20.56</v>
      </c>
      <c r="F115" s="29">
        <v>7.48</v>
      </c>
    </row>
    <row r="116" spans="1:6" x14ac:dyDescent="0.2">
      <c r="A116" s="6" t="s">
        <v>44</v>
      </c>
      <c r="B116" s="7">
        <v>70.599999999999994</v>
      </c>
      <c r="C116" s="6">
        <v>19.059999999999999</v>
      </c>
      <c r="D116" s="6">
        <v>6.32</v>
      </c>
      <c r="E116" s="6">
        <v>19.47</v>
      </c>
      <c r="F116" s="28">
        <v>16.5</v>
      </c>
    </row>
    <row r="117" spans="1:6" x14ac:dyDescent="0.2">
      <c r="A117" s="9" t="s">
        <v>128</v>
      </c>
      <c r="B117" s="10">
        <v>71.400000000000006</v>
      </c>
      <c r="C117" s="9">
        <v>18.39</v>
      </c>
      <c r="D117" s="9">
        <v>9.43</v>
      </c>
      <c r="E117" s="9">
        <v>20.260000000000002</v>
      </c>
      <c r="F117" s="29">
        <v>6.46</v>
      </c>
    </row>
    <row r="118" spans="1:6" x14ac:dyDescent="0.2">
      <c r="A118" s="6" t="s">
        <v>102</v>
      </c>
      <c r="B118" s="7">
        <v>70.599999999999994</v>
      </c>
      <c r="C118" s="6">
        <v>22.89</v>
      </c>
      <c r="D118" s="6">
        <v>6.57</v>
      </c>
      <c r="E118" s="6">
        <v>19.97</v>
      </c>
      <c r="F118" s="28">
        <v>6.86</v>
      </c>
    </row>
    <row r="119" spans="1:6" x14ac:dyDescent="0.2">
      <c r="A119" s="9" t="s">
        <v>92</v>
      </c>
      <c r="B119" s="10">
        <v>78.900000000000006</v>
      </c>
      <c r="C119" s="9">
        <v>23.61</v>
      </c>
      <c r="D119" s="9">
        <v>7.67</v>
      </c>
      <c r="E119" s="9">
        <v>23.13</v>
      </c>
      <c r="F119" s="29">
        <v>7.05</v>
      </c>
    </row>
    <row r="120" spans="1:6" x14ac:dyDescent="0.2">
      <c r="A120" s="6" t="s">
        <v>100</v>
      </c>
      <c r="B120" s="7">
        <v>50</v>
      </c>
      <c r="C120" s="6">
        <v>23.38</v>
      </c>
      <c r="D120" s="6">
        <v>9.82</v>
      </c>
      <c r="E120" s="6">
        <v>26.03</v>
      </c>
      <c r="F120" s="28">
        <v>7.87</v>
      </c>
    </row>
    <row r="121" spans="1:6" x14ac:dyDescent="0.2">
      <c r="A121" s="9" t="s">
        <v>64</v>
      </c>
      <c r="B121" s="10">
        <v>71.400000000000006</v>
      </c>
      <c r="C121" s="9">
        <v>21.43</v>
      </c>
      <c r="D121" s="9">
        <v>7.98</v>
      </c>
      <c r="E121" s="9">
        <v>17.899999999999999</v>
      </c>
      <c r="F121" s="29">
        <v>4.3600000000000003</v>
      </c>
    </row>
    <row r="122" spans="1:6" x14ac:dyDescent="0.2">
      <c r="A122" s="6" t="s">
        <v>32</v>
      </c>
      <c r="B122" s="7">
        <v>77.8</v>
      </c>
      <c r="C122" s="6">
        <v>19.03</v>
      </c>
      <c r="D122" s="6">
        <v>3.18</v>
      </c>
      <c r="E122" s="6">
        <v>23.83</v>
      </c>
      <c r="F122" s="28">
        <v>9.1300000000000008</v>
      </c>
    </row>
    <row r="123" spans="1:6" x14ac:dyDescent="0.2">
      <c r="A123" s="9" t="s">
        <v>17</v>
      </c>
      <c r="B123" s="10">
        <v>80</v>
      </c>
      <c r="C123" s="9">
        <v>20.97</v>
      </c>
      <c r="D123" s="9">
        <v>11.23</v>
      </c>
      <c r="E123" s="9">
        <v>18.84</v>
      </c>
      <c r="F123" s="29">
        <v>8.92</v>
      </c>
    </row>
    <row r="124" spans="1:6" x14ac:dyDescent="0.2">
      <c r="A124" s="6" t="s">
        <v>41</v>
      </c>
      <c r="B124" s="7">
        <v>60</v>
      </c>
      <c r="C124" s="6">
        <v>20.76</v>
      </c>
      <c r="D124" s="6">
        <v>13.48</v>
      </c>
      <c r="E124" s="6">
        <v>19.579999999999998</v>
      </c>
      <c r="F124" s="28">
        <v>8.83</v>
      </c>
    </row>
    <row r="125" spans="1:6" x14ac:dyDescent="0.2">
      <c r="A125" s="9" t="s">
        <v>20</v>
      </c>
      <c r="B125" s="10">
        <v>66.7</v>
      </c>
      <c r="C125" s="9">
        <v>21.16</v>
      </c>
      <c r="D125" s="9">
        <v>1.86</v>
      </c>
      <c r="E125" s="9">
        <v>22.96</v>
      </c>
      <c r="F125" s="29">
        <v>6</v>
      </c>
    </row>
    <row r="126" spans="1:6" x14ac:dyDescent="0.2">
      <c r="A126" s="6" t="s">
        <v>80</v>
      </c>
      <c r="B126" s="7">
        <v>70</v>
      </c>
      <c r="C126" s="6">
        <v>26.67</v>
      </c>
      <c r="D126" s="6">
        <v>17.93</v>
      </c>
      <c r="E126" s="6">
        <v>18.68</v>
      </c>
      <c r="F126" s="28">
        <v>5.44</v>
      </c>
    </row>
    <row r="127" spans="1:6" x14ac:dyDescent="0.2">
      <c r="A127" s="9" t="s">
        <v>29</v>
      </c>
      <c r="B127" s="10">
        <v>79.2</v>
      </c>
      <c r="C127" s="9">
        <v>20.79</v>
      </c>
      <c r="D127" s="9">
        <v>11.25</v>
      </c>
      <c r="E127" s="9">
        <v>20.190000000000001</v>
      </c>
      <c r="F127" s="29">
        <v>5.5</v>
      </c>
    </row>
    <row r="128" spans="1:6" x14ac:dyDescent="0.2">
      <c r="A128" s="6" t="s">
        <v>25</v>
      </c>
      <c r="B128" s="7">
        <v>74.099999999999994</v>
      </c>
      <c r="C128" s="6">
        <v>19.07</v>
      </c>
      <c r="D128" s="6">
        <v>6.81</v>
      </c>
      <c r="E128" s="6">
        <v>19.97</v>
      </c>
      <c r="F128" s="28">
        <v>7.3</v>
      </c>
    </row>
    <row r="129" spans="1:6" x14ac:dyDescent="0.2">
      <c r="A129" s="2" t="s">
        <v>106</v>
      </c>
      <c r="B129" s="4">
        <v>65</v>
      </c>
      <c r="C129" s="2">
        <v>22.24</v>
      </c>
      <c r="D129" s="2">
        <v>6.55</v>
      </c>
      <c r="E129" s="2">
        <v>25.85</v>
      </c>
      <c r="F129" s="30">
        <v>4.62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129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8.66406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81.3</v>
      </c>
      <c r="C2" s="6">
        <v>20.91</v>
      </c>
      <c r="D2" s="6">
        <v>9.27</v>
      </c>
      <c r="E2" s="6">
        <v>24.26</v>
      </c>
      <c r="F2" s="28">
        <v>7</v>
      </c>
      <c r="H2">
        <v>1</v>
      </c>
      <c r="I2" t="s">
        <v>11</v>
      </c>
      <c r="J2">
        <f>VLOOKUP(I2,'ST 2015'!$A$2:$F$129,2)</f>
        <v>69.7</v>
      </c>
      <c r="K2">
        <f>VLOOKUP(I2,'ST 2015'!$A$2:$F$129,3)</f>
        <v>21.7</v>
      </c>
      <c r="L2">
        <f>VLOOKUP(I2,'ST 2015'!$A$2:$F$129,4)</f>
        <v>12.7</v>
      </c>
      <c r="M2">
        <f>VLOOKUP(I2,'ST 2015'!$A$2:$F$129,5)</f>
        <v>19</v>
      </c>
      <c r="N2">
        <f>VLOOKUP(I2,'ST 2015'!$A$2:$F$129,6)</f>
        <v>10.33</v>
      </c>
      <c r="O2">
        <v>2015</v>
      </c>
    </row>
    <row r="3" spans="1:15" x14ac:dyDescent="0.2">
      <c r="A3" s="9" t="s">
        <v>103</v>
      </c>
      <c r="B3" s="10">
        <v>68.2</v>
      </c>
      <c r="C3" s="9">
        <v>16.62</v>
      </c>
      <c r="D3" s="9">
        <v>5.16</v>
      </c>
      <c r="E3" s="9">
        <v>18.05</v>
      </c>
      <c r="F3" s="29">
        <v>5.35</v>
      </c>
      <c r="H3">
        <v>2</v>
      </c>
      <c r="I3" t="s">
        <v>24</v>
      </c>
      <c r="J3">
        <f>VLOOKUP(I3,'ST 2015'!$A$2:$F$129,2)</f>
        <v>84.8</v>
      </c>
      <c r="K3">
        <f>VLOOKUP(I3,'ST 2015'!$A$2:$F$129,3)</f>
        <v>21.63</v>
      </c>
      <c r="L3">
        <f>VLOOKUP(I3,'ST 2015'!$A$2:$F$129,4)</f>
        <v>2.33</v>
      </c>
      <c r="M3">
        <f>VLOOKUP(I3,'ST 2015'!$A$2:$F$129,5)</f>
        <v>24.85</v>
      </c>
      <c r="N3">
        <f>VLOOKUP(I3,'ST 2015'!$A$2:$F$129,6)</f>
        <v>6.06</v>
      </c>
      <c r="O3">
        <v>2015</v>
      </c>
    </row>
    <row r="4" spans="1:15" x14ac:dyDescent="0.2">
      <c r="A4" s="6" t="s">
        <v>11</v>
      </c>
      <c r="B4" s="7">
        <v>69.7</v>
      </c>
      <c r="C4" s="6">
        <v>21.7</v>
      </c>
      <c r="D4" s="6">
        <v>12.7</v>
      </c>
      <c r="E4" s="6">
        <v>19</v>
      </c>
      <c r="F4" s="28">
        <v>10.33</v>
      </c>
      <c r="H4">
        <v>3</v>
      </c>
      <c r="I4" t="s">
        <v>37</v>
      </c>
      <c r="J4">
        <f>VLOOKUP(I4,'ST 2015'!$A$2:$F$129,2)</f>
        <v>90</v>
      </c>
      <c r="K4">
        <f>VLOOKUP(I4,'ST 2015'!$A$2:$F$129,3)</f>
        <v>24.33</v>
      </c>
      <c r="L4">
        <f>VLOOKUP(I4,'ST 2015'!$A$2:$F$129,4)</f>
        <v>9.06</v>
      </c>
      <c r="M4">
        <f>VLOOKUP(I4,'ST 2015'!$A$2:$F$129,5)</f>
        <v>21.04</v>
      </c>
      <c r="N4">
        <f>VLOOKUP(I4,'ST 2015'!$A$2:$F$129,6)</f>
        <v>8.4499999999999993</v>
      </c>
      <c r="O4">
        <v>2015</v>
      </c>
    </row>
    <row r="5" spans="1:15" x14ac:dyDescent="0.2">
      <c r="A5" s="9" t="s">
        <v>45</v>
      </c>
      <c r="B5" s="10">
        <v>82.4</v>
      </c>
      <c r="C5" s="9">
        <v>21.11</v>
      </c>
      <c r="D5" s="9">
        <v>5.81</v>
      </c>
      <c r="E5" s="9">
        <v>22.98</v>
      </c>
      <c r="F5" s="29">
        <v>6.16</v>
      </c>
      <c r="H5">
        <v>4</v>
      </c>
      <c r="I5" t="s">
        <v>4</v>
      </c>
      <c r="J5">
        <f>VLOOKUP(I5,'ST 2015'!$A$2:$F$129,2)</f>
        <v>66.7</v>
      </c>
      <c r="K5">
        <f>VLOOKUP(I5,'ST 2015'!$A$2:$F$129,3)</f>
        <v>24.12</v>
      </c>
      <c r="L5">
        <f>VLOOKUP(I5,'ST 2015'!$A$2:$F$129,4)</f>
        <v>13.07</v>
      </c>
      <c r="M5">
        <f>VLOOKUP(I5,'ST 2015'!$A$2:$F$129,5)</f>
        <v>16.260000000000002</v>
      </c>
      <c r="N5">
        <f>VLOOKUP(I5,'ST 2015'!$A$2:$F$129,6)</f>
        <v>3.58</v>
      </c>
      <c r="O5">
        <v>2015</v>
      </c>
    </row>
    <row r="6" spans="1:15" x14ac:dyDescent="0.2">
      <c r="A6" s="6" t="s">
        <v>5</v>
      </c>
      <c r="B6" s="7">
        <v>81.8</v>
      </c>
      <c r="C6" s="6">
        <v>22.78</v>
      </c>
      <c r="D6" s="6">
        <v>16</v>
      </c>
      <c r="E6" s="6">
        <v>21.69</v>
      </c>
      <c r="F6" s="28">
        <v>3.43</v>
      </c>
      <c r="H6">
        <v>5</v>
      </c>
      <c r="I6" t="s">
        <v>3</v>
      </c>
      <c r="J6">
        <f>VLOOKUP(I6,'ST 2015'!$A$2:$F$129,2)</f>
        <v>79.2</v>
      </c>
      <c r="K6">
        <f>VLOOKUP(I6,'ST 2015'!$A$2:$F$129,3)</f>
        <v>21.45</v>
      </c>
      <c r="L6">
        <f>VLOOKUP(I6,'ST 2015'!$A$2:$F$129,4)</f>
        <v>7.5</v>
      </c>
      <c r="M6">
        <f>VLOOKUP(I6,'ST 2015'!$A$2:$F$129,5)</f>
        <v>21.46</v>
      </c>
      <c r="N6">
        <f>VLOOKUP(I6,'ST 2015'!$A$2:$F$129,6)</f>
        <v>1.0900000000000001</v>
      </c>
      <c r="O6">
        <v>2015</v>
      </c>
    </row>
    <row r="7" spans="1:15" x14ac:dyDescent="0.2">
      <c r="A7" s="9" t="s">
        <v>38</v>
      </c>
      <c r="B7" s="10">
        <v>76.5</v>
      </c>
      <c r="C7" s="9">
        <v>22.91</v>
      </c>
      <c r="D7" s="9">
        <v>7</v>
      </c>
      <c r="E7" s="9">
        <v>26.83</v>
      </c>
      <c r="F7" s="29">
        <v>12.14</v>
      </c>
      <c r="H7">
        <v>6</v>
      </c>
      <c r="I7" t="s">
        <v>104</v>
      </c>
      <c r="J7">
        <f>VLOOKUP(I7,'ST 2015'!$A$2:$F$129,2)</f>
        <v>63.2</v>
      </c>
      <c r="K7">
        <f>VLOOKUP(I7,'ST 2015'!$A$2:$F$129,3)</f>
        <v>21.22</v>
      </c>
      <c r="L7">
        <f>VLOOKUP(I7,'ST 2015'!$A$2:$F$129,4)</f>
        <v>3.38</v>
      </c>
      <c r="M7">
        <f>VLOOKUP(I7,'ST 2015'!$A$2:$F$129,5)</f>
        <v>21.63</v>
      </c>
      <c r="N7">
        <f>VLOOKUP(I7,'ST 2015'!$A$2:$F$129,6)</f>
        <v>12.81</v>
      </c>
      <c r="O7">
        <v>2015</v>
      </c>
    </row>
    <row r="8" spans="1:15" x14ac:dyDescent="0.2">
      <c r="A8" s="6" t="s">
        <v>63</v>
      </c>
      <c r="B8" s="7">
        <v>60</v>
      </c>
      <c r="C8" s="6">
        <v>20.58</v>
      </c>
      <c r="D8" s="6">
        <v>13.29</v>
      </c>
      <c r="E8" s="6">
        <v>19.52</v>
      </c>
      <c r="F8" s="28">
        <v>6.94</v>
      </c>
      <c r="H8">
        <v>7</v>
      </c>
      <c r="I8" t="s">
        <v>27</v>
      </c>
      <c r="J8">
        <f>VLOOKUP(I8,'ST 2015'!$A$2:$F$129,2)</f>
        <v>84</v>
      </c>
      <c r="K8">
        <f>VLOOKUP(I8,'ST 2015'!$A$2:$F$129,3)</f>
        <v>24.49</v>
      </c>
      <c r="L8">
        <f>VLOOKUP(I8,'ST 2015'!$A$2:$F$129,4)</f>
        <v>10.11</v>
      </c>
      <c r="M8">
        <f>VLOOKUP(I8,'ST 2015'!$A$2:$F$129,5)</f>
        <v>20.43</v>
      </c>
      <c r="N8">
        <f>VLOOKUP(I8,'ST 2015'!$A$2:$F$129,6)</f>
        <v>2.54</v>
      </c>
      <c r="O8">
        <v>2015</v>
      </c>
    </row>
    <row r="9" spans="1:15" x14ac:dyDescent="0.2">
      <c r="A9" s="9" t="s">
        <v>8</v>
      </c>
      <c r="B9" s="10">
        <v>76.5</v>
      </c>
      <c r="C9" s="9">
        <v>25.27</v>
      </c>
      <c r="D9" s="9">
        <v>11.47</v>
      </c>
      <c r="E9" s="9">
        <v>18.690000000000001</v>
      </c>
      <c r="F9" s="29">
        <v>4.7</v>
      </c>
      <c r="H9">
        <v>8</v>
      </c>
      <c r="I9" t="s">
        <v>67</v>
      </c>
      <c r="J9">
        <f>VLOOKUP(I9,'ST 2015'!$A$2:$F$129,2)</f>
        <v>76.5</v>
      </c>
      <c r="K9">
        <f>VLOOKUP(I9,'ST 2015'!$A$2:$F$129,3)</f>
        <v>23.55</v>
      </c>
      <c r="L9">
        <f>VLOOKUP(I9,'ST 2015'!$A$2:$F$129,4)</f>
        <v>10.41</v>
      </c>
      <c r="M9">
        <f>VLOOKUP(I9,'ST 2015'!$A$2:$F$129,5)</f>
        <v>20.43</v>
      </c>
      <c r="N9">
        <f>VLOOKUP(I9,'ST 2015'!$A$2:$F$129,6)</f>
        <v>2.19</v>
      </c>
      <c r="O9">
        <v>2015</v>
      </c>
    </row>
    <row r="10" spans="1:15" x14ac:dyDescent="0.2">
      <c r="A10" s="6" t="s">
        <v>42</v>
      </c>
      <c r="B10" s="7">
        <v>66.7</v>
      </c>
      <c r="C10" s="6">
        <v>18.68</v>
      </c>
      <c r="D10" s="6">
        <v>6.14</v>
      </c>
      <c r="E10" s="6">
        <v>18.66</v>
      </c>
      <c r="F10" s="28">
        <v>5.43</v>
      </c>
      <c r="H10">
        <v>9</v>
      </c>
      <c r="I10" t="s">
        <v>68</v>
      </c>
      <c r="J10">
        <f>VLOOKUP(I10,'ST 2015'!$A$2:$F$129,2)</f>
        <v>80</v>
      </c>
      <c r="K10">
        <f>VLOOKUP(I10,'ST 2015'!$A$2:$F$129,3)</f>
        <v>22.77</v>
      </c>
      <c r="L10">
        <f>VLOOKUP(I10,'ST 2015'!$A$2:$F$129,4)</f>
        <v>13.94</v>
      </c>
      <c r="M10">
        <f>VLOOKUP(I10,'ST 2015'!$A$2:$F$129,5)</f>
        <v>23.56</v>
      </c>
      <c r="N10">
        <f>VLOOKUP(I10,'ST 2015'!$A$2:$F$129,6)</f>
        <v>13.85</v>
      </c>
      <c r="O10">
        <v>2015</v>
      </c>
    </row>
    <row r="11" spans="1:15" x14ac:dyDescent="0.2">
      <c r="A11" s="9" t="s">
        <v>19</v>
      </c>
      <c r="B11" s="10">
        <v>85.2</v>
      </c>
      <c r="C11" s="9">
        <v>28</v>
      </c>
      <c r="D11" s="9">
        <v>11.53</v>
      </c>
      <c r="E11" s="9">
        <v>21.44</v>
      </c>
      <c r="F11" s="29">
        <v>12.43</v>
      </c>
      <c r="H11">
        <v>10</v>
      </c>
      <c r="I11" t="s">
        <v>34</v>
      </c>
      <c r="J11">
        <f>VLOOKUP(I11,'ST 2015'!$A$2:$F$129,2)</f>
        <v>76</v>
      </c>
      <c r="K11">
        <f>VLOOKUP(I11,'ST 2015'!$A$2:$F$129,3)</f>
        <v>17.71</v>
      </c>
      <c r="L11">
        <f>VLOOKUP(I11,'ST 2015'!$A$2:$F$129,4)</f>
        <v>3.63</v>
      </c>
      <c r="M11">
        <f>VLOOKUP(I11,'ST 2015'!$A$2:$F$129,5)</f>
        <v>19.13</v>
      </c>
      <c r="N11">
        <f>VLOOKUP(I11,'ST 2015'!$A$2:$F$129,6)</f>
        <v>5.94</v>
      </c>
      <c r="O11">
        <v>2015</v>
      </c>
    </row>
    <row r="12" spans="1:15" x14ac:dyDescent="0.2">
      <c r="A12" s="6" t="s">
        <v>120</v>
      </c>
      <c r="B12" s="7">
        <v>76.2</v>
      </c>
      <c r="C12" s="6">
        <v>25.5</v>
      </c>
      <c r="D12" s="6">
        <v>9.77</v>
      </c>
      <c r="E12" s="6">
        <v>18.03</v>
      </c>
      <c r="F12" s="28">
        <v>10.46</v>
      </c>
      <c r="H12">
        <v>11</v>
      </c>
      <c r="I12" t="s">
        <v>23</v>
      </c>
      <c r="J12">
        <f>VLOOKUP(I12,'ST 2015'!$A$2:$F$129,2)</f>
        <v>88.2</v>
      </c>
      <c r="K12">
        <f>VLOOKUP(I12,'ST 2015'!$A$2:$F$129,3)</f>
        <v>21.15</v>
      </c>
      <c r="L12">
        <f>VLOOKUP(I12,'ST 2015'!$A$2:$F$129,4)</f>
        <v>7.96</v>
      </c>
      <c r="M12">
        <f>VLOOKUP(I12,'ST 2015'!$A$2:$F$129,5)</f>
        <v>22.12</v>
      </c>
      <c r="N12">
        <f>VLOOKUP(I12,'ST 2015'!$A$2:$F$129,6)</f>
        <v>8.82</v>
      </c>
      <c r="O12">
        <v>2015</v>
      </c>
    </row>
    <row r="13" spans="1:15" x14ac:dyDescent="0.2">
      <c r="A13" s="9" t="s">
        <v>94</v>
      </c>
      <c r="B13" s="10">
        <v>57.1</v>
      </c>
      <c r="C13" s="9">
        <v>22.5</v>
      </c>
      <c r="D13" s="9">
        <v>4.2699999999999996</v>
      </c>
      <c r="E13" s="9">
        <v>23.05</v>
      </c>
      <c r="F13" s="29">
        <v>3.5</v>
      </c>
      <c r="H13">
        <v>12</v>
      </c>
      <c r="I13" t="s">
        <v>84</v>
      </c>
      <c r="J13">
        <f>VLOOKUP(I13,'ST 2015'!$A$2:$F$129,2)</f>
        <v>81.8</v>
      </c>
      <c r="K13">
        <f>VLOOKUP(I13,'ST 2015'!$A$2:$F$129,3)</f>
        <v>28.39</v>
      </c>
      <c r="L13">
        <f>VLOOKUP(I13,'ST 2015'!$A$2:$F$129,4)</f>
        <v>11.39</v>
      </c>
      <c r="M13">
        <f>VLOOKUP(I13,'ST 2015'!$A$2:$F$129,5)</f>
        <v>20.49</v>
      </c>
      <c r="N13">
        <f>VLOOKUP(I13,'ST 2015'!$A$2:$F$129,6)</f>
        <v>11.47</v>
      </c>
      <c r="O13">
        <v>2015</v>
      </c>
    </row>
    <row r="14" spans="1:15" x14ac:dyDescent="0.2">
      <c r="A14" s="6" t="s">
        <v>33</v>
      </c>
      <c r="B14" s="7">
        <v>83.3</v>
      </c>
      <c r="C14" s="6">
        <v>21</v>
      </c>
      <c r="D14" s="6">
        <v>5.31</v>
      </c>
      <c r="E14" s="6">
        <v>22.36</v>
      </c>
      <c r="F14" s="28">
        <v>11.42</v>
      </c>
      <c r="H14">
        <v>13</v>
      </c>
      <c r="I14" t="s">
        <v>94</v>
      </c>
      <c r="J14">
        <f>VLOOKUP(I14,'ST 2015'!$A$2:$F$129,2)</f>
        <v>57.1</v>
      </c>
      <c r="K14">
        <f>VLOOKUP(I14,'ST 2015'!$A$2:$F$129,3)</f>
        <v>22.5</v>
      </c>
      <c r="L14">
        <f>VLOOKUP(I14,'ST 2015'!$A$2:$F$129,4)</f>
        <v>4.2699999999999996</v>
      </c>
      <c r="M14">
        <f>VLOOKUP(I14,'ST 2015'!$A$2:$F$129,5)</f>
        <v>23.05</v>
      </c>
      <c r="N14">
        <f>VLOOKUP(I14,'ST 2015'!$A$2:$F$129,6)</f>
        <v>3.5</v>
      </c>
      <c r="O14">
        <v>2015</v>
      </c>
    </row>
    <row r="15" spans="1:15" x14ac:dyDescent="0.2">
      <c r="A15" s="9" t="s">
        <v>79</v>
      </c>
      <c r="B15" s="10">
        <v>54.5</v>
      </c>
      <c r="C15" s="9">
        <v>25.19</v>
      </c>
      <c r="D15" s="9">
        <v>8.0299999999999994</v>
      </c>
      <c r="E15" s="9">
        <v>19.75</v>
      </c>
      <c r="F15" s="29">
        <v>1.66</v>
      </c>
      <c r="H15">
        <v>14</v>
      </c>
      <c r="I15" t="s">
        <v>88</v>
      </c>
      <c r="J15">
        <f>VLOOKUP(I15,'ST 2015'!$A$2:$F$129,2)</f>
        <v>80.8</v>
      </c>
      <c r="K15">
        <f>VLOOKUP(I15,'ST 2015'!$A$2:$F$129,3)</f>
        <v>24.96</v>
      </c>
      <c r="L15">
        <f>VLOOKUP(I15,'ST 2015'!$A$2:$F$129,4)</f>
        <v>3.74</v>
      </c>
      <c r="M15">
        <f>VLOOKUP(I15,'ST 2015'!$A$2:$F$129,5)</f>
        <v>16.88</v>
      </c>
      <c r="N15">
        <f>VLOOKUP(I15,'ST 2015'!$A$2:$F$129,6)</f>
        <v>9.3800000000000008</v>
      </c>
      <c r="O15">
        <v>2015</v>
      </c>
    </row>
    <row r="16" spans="1:15" x14ac:dyDescent="0.2">
      <c r="A16" s="6" t="s">
        <v>87</v>
      </c>
      <c r="B16" s="7">
        <v>53.3</v>
      </c>
      <c r="C16" s="6">
        <v>16.739999999999998</v>
      </c>
      <c r="D16" s="6">
        <v>6.43</v>
      </c>
      <c r="E16" s="6">
        <v>21.18</v>
      </c>
      <c r="F16" s="28">
        <v>18</v>
      </c>
      <c r="H16">
        <v>15</v>
      </c>
      <c r="I16" t="s">
        <v>82</v>
      </c>
      <c r="J16">
        <f>VLOOKUP(I16,'ST 2015'!$A$2:$F$129,2)</f>
        <v>87</v>
      </c>
      <c r="K16">
        <f>VLOOKUP(I16,'ST 2015'!$A$2:$F$129,3)</f>
        <v>20.72</v>
      </c>
      <c r="L16">
        <f>VLOOKUP(I16,'ST 2015'!$A$2:$F$129,4)</f>
        <v>13.17</v>
      </c>
      <c r="M16">
        <f>VLOOKUP(I16,'ST 2015'!$A$2:$F$129,5)</f>
        <v>19.12</v>
      </c>
      <c r="N16">
        <f>VLOOKUP(I16,'ST 2015'!$A$2:$F$129,6)</f>
        <v>8.8000000000000007</v>
      </c>
      <c r="O16">
        <v>2015</v>
      </c>
    </row>
    <row r="17" spans="1:15" x14ac:dyDescent="0.2">
      <c r="A17" s="9" t="s">
        <v>66</v>
      </c>
      <c r="B17" s="10">
        <v>68.400000000000006</v>
      </c>
      <c r="C17" s="9">
        <v>16.600000000000001</v>
      </c>
      <c r="D17" s="9">
        <v>11.6</v>
      </c>
      <c r="E17" s="9">
        <v>22.35</v>
      </c>
      <c r="F17" s="29">
        <v>8.5</v>
      </c>
      <c r="H17">
        <v>16</v>
      </c>
      <c r="I17" t="s">
        <v>70</v>
      </c>
      <c r="J17">
        <f>VLOOKUP(I17,'ST 2015'!$A$2:$F$129,2)</f>
        <v>76.5</v>
      </c>
      <c r="K17">
        <f>VLOOKUP(I17,'ST 2015'!$A$2:$F$129,3)</f>
        <v>20.399999999999999</v>
      </c>
      <c r="L17">
        <f>VLOOKUP(I17,'ST 2015'!$A$2:$F$129,4)</f>
        <v>9.7899999999999991</v>
      </c>
      <c r="M17">
        <f>VLOOKUP(I17,'ST 2015'!$A$2:$F$129,5)</f>
        <v>20.36</v>
      </c>
      <c r="N17">
        <f>VLOOKUP(I17,'ST 2015'!$A$2:$F$129,6)</f>
        <v>18.91</v>
      </c>
      <c r="O17">
        <v>2015</v>
      </c>
    </row>
    <row r="18" spans="1:15" x14ac:dyDescent="0.2">
      <c r="A18" s="6" t="s">
        <v>122</v>
      </c>
      <c r="B18" s="7">
        <v>82.4</v>
      </c>
      <c r="C18" s="6">
        <v>21.38</v>
      </c>
      <c r="D18" s="6">
        <v>8.68</v>
      </c>
      <c r="E18" s="6">
        <v>20.93</v>
      </c>
      <c r="F18" s="28">
        <v>12.38</v>
      </c>
      <c r="H18">
        <v>17</v>
      </c>
      <c r="I18" t="s">
        <v>57</v>
      </c>
      <c r="J18">
        <f>VLOOKUP(I18,'ST 2015'!$A$2:$F$129,2)</f>
        <v>85.2</v>
      </c>
      <c r="K18">
        <f>VLOOKUP(I18,'ST 2015'!$A$2:$F$129,3)</f>
        <v>21.9</v>
      </c>
      <c r="L18">
        <f>VLOOKUP(I18,'ST 2015'!$A$2:$F$129,4)</f>
        <v>10.83</v>
      </c>
      <c r="M18">
        <f>VLOOKUP(I18,'ST 2015'!$A$2:$F$129,5)</f>
        <v>20.71</v>
      </c>
      <c r="N18">
        <f>VLOOKUP(I18,'ST 2015'!$A$2:$F$129,6)</f>
        <v>7.18</v>
      </c>
      <c r="O18">
        <v>2015</v>
      </c>
    </row>
    <row r="19" spans="1:15" x14ac:dyDescent="0.2">
      <c r="A19" s="9" t="s">
        <v>72</v>
      </c>
      <c r="B19" s="10">
        <v>85.7</v>
      </c>
      <c r="C19" s="9">
        <v>20.74</v>
      </c>
      <c r="D19" s="9">
        <v>5.86</v>
      </c>
      <c r="E19" s="9">
        <v>20.94</v>
      </c>
      <c r="F19" s="29">
        <v>10.33</v>
      </c>
      <c r="H19">
        <v>18</v>
      </c>
      <c r="I19" t="s">
        <v>49</v>
      </c>
      <c r="J19">
        <f>VLOOKUP(I19,'ST 2015'!$A$2:$F$129,2)</f>
        <v>86.7</v>
      </c>
      <c r="K19">
        <f>VLOOKUP(I19,'ST 2015'!$A$2:$F$129,3)</f>
        <v>24.22</v>
      </c>
      <c r="L19">
        <f>VLOOKUP(I19,'ST 2015'!$A$2:$F$129,4)</f>
        <v>6.09</v>
      </c>
      <c r="M19">
        <f>VLOOKUP(I19,'ST 2015'!$A$2:$F$129,5)</f>
        <v>23.11</v>
      </c>
      <c r="N19">
        <f>VLOOKUP(I19,'ST 2015'!$A$2:$F$129,6)</f>
        <v>15.82</v>
      </c>
      <c r="O19">
        <v>2015</v>
      </c>
    </row>
    <row r="20" spans="1:15" x14ac:dyDescent="0.2">
      <c r="A20" s="6" t="s">
        <v>54</v>
      </c>
      <c r="B20" s="7">
        <v>66.7</v>
      </c>
      <c r="C20" s="6">
        <v>19.11</v>
      </c>
      <c r="D20" s="6">
        <v>4.33</v>
      </c>
      <c r="E20" s="6">
        <v>23.3</v>
      </c>
      <c r="F20" s="28">
        <v>5.2</v>
      </c>
      <c r="H20">
        <v>19</v>
      </c>
      <c r="I20" t="s">
        <v>18</v>
      </c>
      <c r="J20">
        <f>VLOOKUP(I20,'ST 2015'!$A$2:$F$129,2)</f>
        <v>91.7</v>
      </c>
      <c r="K20">
        <f>VLOOKUP(I20,'ST 2015'!$A$2:$F$129,3)</f>
        <v>25.16</v>
      </c>
      <c r="L20">
        <f>VLOOKUP(I20,'ST 2015'!$A$2:$F$129,4)</f>
        <v>12.58</v>
      </c>
      <c r="M20">
        <f>VLOOKUP(I20,'ST 2015'!$A$2:$F$129,5)</f>
        <v>22.42</v>
      </c>
      <c r="N20">
        <f>VLOOKUP(I20,'ST 2015'!$A$2:$F$129,6)</f>
        <v>15.28</v>
      </c>
      <c r="O20">
        <v>2015</v>
      </c>
    </row>
    <row r="21" spans="1:15" x14ac:dyDescent="0.2">
      <c r="A21" s="9" t="s">
        <v>126</v>
      </c>
      <c r="B21" s="10">
        <v>51.9</v>
      </c>
      <c r="C21" s="9">
        <v>19.57</v>
      </c>
      <c r="D21" s="9">
        <v>3.59</v>
      </c>
      <c r="E21" s="9">
        <v>23.69</v>
      </c>
      <c r="F21" s="29">
        <v>6.79</v>
      </c>
      <c r="H21">
        <v>20</v>
      </c>
      <c r="I21" t="s">
        <v>2</v>
      </c>
      <c r="J21">
        <f>VLOOKUP(I21,'ST 2015'!$A$2:$F$129,2)</f>
        <v>76.2</v>
      </c>
      <c r="K21">
        <f>VLOOKUP(I21,'ST 2015'!$A$2:$F$129,3)</f>
        <v>20.67</v>
      </c>
      <c r="L21">
        <f>VLOOKUP(I21,'ST 2015'!$A$2:$F$129,4)</f>
        <v>6.67</v>
      </c>
      <c r="M21">
        <f>VLOOKUP(I21,'ST 2015'!$A$2:$F$129,5)</f>
        <v>23.01</v>
      </c>
      <c r="N21">
        <f>VLOOKUP(I21,'ST 2015'!$A$2:$F$129,6)</f>
        <v>4.7</v>
      </c>
      <c r="O21">
        <v>2015</v>
      </c>
    </row>
    <row r="22" spans="1:15" x14ac:dyDescent="0.2">
      <c r="A22" s="6" t="s">
        <v>110</v>
      </c>
      <c r="B22" s="7">
        <v>77.8</v>
      </c>
      <c r="C22" s="6">
        <v>20.12</v>
      </c>
      <c r="D22" s="6">
        <v>9.4</v>
      </c>
      <c r="E22" s="6">
        <v>26.33</v>
      </c>
      <c r="F22" s="28">
        <v>9.25</v>
      </c>
      <c r="H22">
        <v>21</v>
      </c>
      <c r="I22" t="s">
        <v>25</v>
      </c>
      <c r="J22">
        <f>VLOOKUP(I22,'ST 2015'!$A$2:$F$129,2)</f>
        <v>66.7</v>
      </c>
      <c r="K22">
        <f>VLOOKUP(I22,'ST 2015'!$A$2:$F$129,3)</f>
        <v>19.82</v>
      </c>
      <c r="L22">
        <f>VLOOKUP(I22,'ST 2015'!$A$2:$F$129,4)</f>
        <v>7.28</v>
      </c>
      <c r="M22">
        <f>VLOOKUP(I22,'ST 2015'!$A$2:$F$129,5)</f>
        <v>16.62</v>
      </c>
      <c r="N22">
        <f>VLOOKUP(I22,'ST 2015'!$A$2:$F$129,6)</f>
        <v>4.0599999999999996</v>
      </c>
      <c r="O22">
        <v>2015</v>
      </c>
    </row>
    <row r="23" spans="1:15" x14ac:dyDescent="0.2">
      <c r="A23" s="9" t="s">
        <v>24</v>
      </c>
      <c r="B23" s="10">
        <v>84.8</v>
      </c>
      <c r="C23" s="9">
        <v>21.63</v>
      </c>
      <c r="D23" s="9">
        <v>2.33</v>
      </c>
      <c r="E23" s="9">
        <v>24.85</v>
      </c>
      <c r="F23" s="29">
        <v>6.06</v>
      </c>
      <c r="H23">
        <v>22</v>
      </c>
      <c r="I23" t="s">
        <v>117</v>
      </c>
      <c r="J23">
        <f>VLOOKUP(I23,'ST 2015'!$A$2:$F$129,2)</f>
        <v>67.7</v>
      </c>
      <c r="K23">
        <f>VLOOKUP(I23,'ST 2015'!$A$2:$F$129,3)</f>
        <v>33.409999999999997</v>
      </c>
      <c r="L23">
        <f>VLOOKUP(I23,'ST 2015'!$A$2:$F$129,4)</f>
        <v>17.18</v>
      </c>
      <c r="M23">
        <f>VLOOKUP(I23,'ST 2015'!$A$2:$F$129,5)</f>
        <v>18.239999999999998</v>
      </c>
      <c r="N23">
        <f>VLOOKUP(I23,'ST 2015'!$A$2:$F$129,6)</f>
        <v>11.26</v>
      </c>
      <c r="O23">
        <v>2015</v>
      </c>
    </row>
    <row r="24" spans="1:15" x14ac:dyDescent="0.2">
      <c r="A24" s="6" t="s">
        <v>77</v>
      </c>
      <c r="B24" s="7">
        <v>62.1</v>
      </c>
      <c r="C24" s="6">
        <v>21.91</v>
      </c>
      <c r="D24" s="6">
        <v>6.19</v>
      </c>
      <c r="E24" s="6">
        <v>22.34</v>
      </c>
      <c r="F24" s="28">
        <v>6.5</v>
      </c>
      <c r="H24">
        <v>23</v>
      </c>
      <c r="I24" t="s">
        <v>55</v>
      </c>
      <c r="J24">
        <f>VLOOKUP(I24,'ST 2015'!$A$2:$F$129,2)</f>
        <v>66.7</v>
      </c>
      <c r="K24">
        <f>VLOOKUP(I24,'ST 2015'!$A$2:$F$129,3)</f>
        <v>25.06</v>
      </c>
      <c r="L24">
        <f>VLOOKUP(I24,'ST 2015'!$A$2:$F$129,4)</f>
        <v>8.31</v>
      </c>
      <c r="M24">
        <f>VLOOKUP(I24,'ST 2015'!$A$2:$F$129,5)</f>
        <v>20.72</v>
      </c>
      <c r="N24">
        <f>VLOOKUP(I24,'ST 2015'!$A$2:$F$129,6)</f>
        <v>1.94</v>
      </c>
      <c r="O24">
        <v>2015</v>
      </c>
    </row>
    <row r="25" spans="1:15" x14ac:dyDescent="0.2">
      <c r="A25" s="9" t="s">
        <v>30</v>
      </c>
      <c r="B25" s="10">
        <v>69.599999999999994</v>
      </c>
      <c r="C25" s="9">
        <v>25.06</v>
      </c>
      <c r="D25" s="9">
        <v>12.56</v>
      </c>
      <c r="E25" s="9">
        <v>22.65</v>
      </c>
      <c r="F25" s="29">
        <v>8.76</v>
      </c>
      <c r="H25">
        <v>24</v>
      </c>
      <c r="I25" t="s">
        <v>80</v>
      </c>
      <c r="J25">
        <f>VLOOKUP(I25,'ST 2015'!$A$2:$F$129,2)</f>
        <v>93.8</v>
      </c>
      <c r="K25">
        <f>VLOOKUP(I25,'ST 2015'!$A$2:$F$129,3)</f>
        <v>21.1</v>
      </c>
      <c r="L25">
        <f>VLOOKUP(I25,'ST 2015'!$A$2:$F$129,4)</f>
        <v>7.56</v>
      </c>
      <c r="M25">
        <f>VLOOKUP(I25,'ST 2015'!$A$2:$F$129,5)</f>
        <v>19.079999999999998</v>
      </c>
      <c r="N25">
        <f>VLOOKUP(I25,'ST 2015'!$A$2:$F$129,6)</f>
        <v>7.33</v>
      </c>
      <c r="O25">
        <v>2015</v>
      </c>
    </row>
    <row r="26" spans="1:15" x14ac:dyDescent="0.2">
      <c r="A26" s="6" t="s">
        <v>101</v>
      </c>
      <c r="B26" s="7">
        <v>84.2</v>
      </c>
      <c r="C26" s="6">
        <v>19</v>
      </c>
      <c r="D26" s="6">
        <v>0.4</v>
      </c>
      <c r="E26" s="6">
        <v>21.43</v>
      </c>
      <c r="F26" s="28">
        <v>4.18</v>
      </c>
      <c r="H26">
        <v>25</v>
      </c>
      <c r="I26" t="s">
        <v>108</v>
      </c>
      <c r="J26">
        <f>VLOOKUP(I26,'ST 2015'!$A$2:$F$129,2)</f>
        <v>41.2</v>
      </c>
      <c r="K26">
        <f>VLOOKUP(I26,'ST 2015'!$A$2:$F$129,3)</f>
        <v>21</v>
      </c>
      <c r="L26">
        <f>VLOOKUP(I26,'ST 2015'!$A$2:$F$129,4)</f>
        <v>13.94</v>
      </c>
      <c r="M26">
        <f>VLOOKUP(I26,'ST 2015'!$A$2:$F$129,5)</f>
        <v>20.54</v>
      </c>
      <c r="N26">
        <f>VLOOKUP(I26,'ST 2015'!$A$2:$F$129,6)</f>
        <v>3.91</v>
      </c>
      <c r="O26">
        <v>2015</v>
      </c>
    </row>
    <row r="27" spans="1:15" x14ac:dyDescent="0.2">
      <c r="A27" s="9" t="s">
        <v>85</v>
      </c>
      <c r="B27" s="10">
        <v>86.7</v>
      </c>
      <c r="C27" s="9">
        <v>26.34</v>
      </c>
      <c r="D27" s="9">
        <v>7.07</v>
      </c>
      <c r="E27" s="9">
        <v>19.63</v>
      </c>
      <c r="F27" s="29">
        <v>3</v>
      </c>
    </row>
    <row r="28" spans="1:15" x14ac:dyDescent="0.2">
      <c r="A28" s="6" t="s">
        <v>89</v>
      </c>
      <c r="B28" s="7">
        <v>76.900000000000006</v>
      </c>
      <c r="C28" s="6">
        <v>20</v>
      </c>
      <c r="D28" s="6">
        <v>9.7799999999999994</v>
      </c>
      <c r="E28" s="6">
        <v>22</v>
      </c>
      <c r="F28" s="28">
        <v>3.29</v>
      </c>
    </row>
    <row r="29" spans="1:15" x14ac:dyDescent="0.2">
      <c r="A29" s="9" t="s">
        <v>81</v>
      </c>
      <c r="B29" s="10">
        <v>61.1</v>
      </c>
      <c r="C29" s="9">
        <v>19.489999999999998</v>
      </c>
      <c r="D29" s="9">
        <v>5.38</v>
      </c>
      <c r="E29" s="9">
        <v>21.67</v>
      </c>
      <c r="F29" s="29">
        <v>7.25</v>
      </c>
    </row>
    <row r="30" spans="1:15" x14ac:dyDescent="0.2">
      <c r="A30" s="6" t="s">
        <v>108</v>
      </c>
      <c r="B30" s="7">
        <v>41.2</v>
      </c>
      <c r="C30" s="6">
        <v>21</v>
      </c>
      <c r="D30" s="6">
        <v>13.94</v>
      </c>
      <c r="E30" s="6">
        <v>20.54</v>
      </c>
      <c r="F30" s="28">
        <v>3.91</v>
      </c>
    </row>
    <row r="31" spans="1:15" x14ac:dyDescent="0.2">
      <c r="A31" s="9" t="s">
        <v>9</v>
      </c>
      <c r="B31" s="10">
        <v>66.7</v>
      </c>
      <c r="C31" s="9">
        <v>18.78</v>
      </c>
      <c r="D31" s="9">
        <v>6.75</v>
      </c>
      <c r="E31" s="9">
        <v>20.7</v>
      </c>
      <c r="F31" s="29">
        <v>7.25</v>
      </c>
    </row>
    <row r="32" spans="1:15" x14ac:dyDescent="0.2">
      <c r="A32" s="6" t="s">
        <v>95</v>
      </c>
      <c r="B32" s="7">
        <v>71.400000000000006</v>
      </c>
      <c r="C32" s="6">
        <v>20.47</v>
      </c>
      <c r="D32" s="6">
        <v>10.84</v>
      </c>
      <c r="E32" s="6">
        <v>19.239999999999998</v>
      </c>
      <c r="F32" s="28">
        <v>9.1199999999999992</v>
      </c>
    </row>
    <row r="33" spans="1:6" x14ac:dyDescent="0.2">
      <c r="A33" s="9" t="s">
        <v>88</v>
      </c>
      <c r="B33" s="10">
        <v>80.8</v>
      </c>
      <c r="C33" s="9">
        <v>24.96</v>
      </c>
      <c r="D33" s="9">
        <v>3.74</v>
      </c>
      <c r="E33" s="9">
        <v>16.88</v>
      </c>
      <c r="F33" s="29">
        <v>9.3800000000000008</v>
      </c>
    </row>
    <row r="34" spans="1:6" x14ac:dyDescent="0.2">
      <c r="A34" s="6" t="s">
        <v>73</v>
      </c>
      <c r="B34" s="7">
        <v>66.7</v>
      </c>
      <c r="C34" s="6">
        <v>20.3</v>
      </c>
      <c r="D34" s="6">
        <v>10.64</v>
      </c>
      <c r="E34" s="6">
        <v>21.96</v>
      </c>
      <c r="F34" s="28">
        <v>13.53</v>
      </c>
    </row>
    <row r="35" spans="1:6" x14ac:dyDescent="0.2">
      <c r="A35" s="9" t="s">
        <v>22</v>
      </c>
      <c r="B35" s="10">
        <v>66.7</v>
      </c>
      <c r="C35" s="9">
        <v>18.059999999999999</v>
      </c>
      <c r="D35" s="9">
        <v>13.13</v>
      </c>
      <c r="E35" s="9">
        <v>21.2</v>
      </c>
      <c r="F35" s="29">
        <v>8.44</v>
      </c>
    </row>
    <row r="36" spans="1:6" x14ac:dyDescent="0.2">
      <c r="A36" s="6" t="s">
        <v>109</v>
      </c>
      <c r="B36" s="7">
        <v>78.900000000000006</v>
      </c>
      <c r="C36" s="6">
        <v>24.68</v>
      </c>
      <c r="D36" s="6">
        <v>16.14</v>
      </c>
      <c r="E36" s="6">
        <v>14.56</v>
      </c>
      <c r="F36" s="28">
        <v>5.08</v>
      </c>
    </row>
    <row r="37" spans="1:6" x14ac:dyDescent="0.2">
      <c r="A37" s="9" t="s">
        <v>114</v>
      </c>
      <c r="B37" s="10">
        <v>63.2</v>
      </c>
      <c r="C37" s="9">
        <v>22.49</v>
      </c>
      <c r="D37" s="9">
        <v>3.5</v>
      </c>
      <c r="E37" s="9">
        <v>26.79</v>
      </c>
      <c r="F37" s="29">
        <v>14.05</v>
      </c>
    </row>
    <row r="38" spans="1:6" x14ac:dyDescent="0.2">
      <c r="A38" s="6" t="s">
        <v>71</v>
      </c>
      <c r="B38" s="7">
        <v>63.6</v>
      </c>
      <c r="C38" s="6">
        <v>19.03</v>
      </c>
      <c r="D38" s="6">
        <v>9.4499999999999993</v>
      </c>
      <c r="E38" s="6">
        <v>23.16</v>
      </c>
      <c r="F38" s="28">
        <v>7.79</v>
      </c>
    </row>
    <row r="39" spans="1:6" x14ac:dyDescent="0.2">
      <c r="A39" s="9" t="s">
        <v>105</v>
      </c>
      <c r="B39" s="10">
        <v>72.7</v>
      </c>
      <c r="C39" s="9">
        <v>21.32</v>
      </c>
      <c r="D39" s="9">
        <v>7.73</v>
      </c>
      <c r="E39" s="9">
        <v>26.68</v>
      </c>
      <c r="F39" s="29">
        <v>7.46</v>
      </c>
    </row>
    <row r="40" spans="1:6" x14ac:dyDescent="0.2">
      <c r="A40" s="6" t="s">
        <v>67</v>
      </c>
      <c r="B40" s="7">
        <v>76.5</v>
      </c>
      <c r="C40" s="6">
        <v>23.55</v>
      </c>
      <c r="D40" s="6">
        <v>10.41</v>
      </c>
      <c r="E40" s="6">
        <v>20.43</v>
      </c>
      <c r="F40" s="28">
        <v>2.19</v>
      </c>
    </row>
    <row r="41" spans="1:6" x14ac:dyDescent="0.2">
      <c r="A41" s="9" t="s">
        <v>115</v>
      </c>
      <c r="B41" s="10">
        <v>85.2</v>
      </c>
      <c r="C41" s="9">
        <v>17.760000000000002</v>
      </c>
      <c r="D41" s="9">
        <v>1.67</v>
      </c>
      <c r="E41" s="9">
        <v>25.89</v>
      </c>
      <c r="F41" s="29">
        <v>8.58</v>
      </c>
    </row>
    <row r="42" spans="1:6" x14ac:dyDescent="0.2">
      <c r="A42" s="6" t="s">
        <v>125</v>
      </c>
      <c r="B42" s="7">
        <v>64</v>
      </c>
      <c r="C42" s="6">
        <v>19.809999999999999</v>
      </c>
      <c r="D42" s="6">
        <v>10</v>
      </c>
      <c r="E42" s="6">
        <v>20.079999999999998</v>
      </c>
      <c r="F42" s="28">
        <v>11.88</v>
      </c>
    </row>
    <row r="43" spans="1:6" x14ac:dyDescent="0.2">
      <c r="A43" s="9" t="s">
        <v>76</v>
      </c>
      <c r="B43" s="10">
        <v>82.8</v>
      </c>
      <c r="C43" s="9">
        <v>19.2</v>
      </c>
      <c r="D43" s="9">
        <v>11.06</v>
      </c>
      <c r="E43" s="9">
        <v>23.73</v>
      </c>
      <c r="F43" s="29">
        <v>7.07</v>
      </c>
    </row>
    <row r="44" spans="1:6" x14ac:dyDescent="0.2">
      <c r="A44" s="6" t="s">
        <v>68</v>
      </c>
      <c r="B44" s="7">
        <v>80</v>
      </c>
      <c r="C44" s="6">
        <v>22.77</v>
      </c>
      <c r="D44" s="6">
        <v>13.94</v>
      </c>
      <c r="E44" s="6">
        <v>23.56</v>
      </c>
      <c r="F44" s="28">
        <v>13.85</v>
      </c>
    </row>
    <row r="45" spans="1:6" x14ac:dyDescent="0.2">
      <c r="A45" s="9" t="s">
        <v>52</v>
      </c>
      <c r="B45" s="10">
        <v>73.7</v>
      </c>
      <c r="C45" s="9">
        <v>18.649999999999999</v>
      </c>
      <c r="D45" s="9">
        <v>17.41</v>
      </c>
      <c r="E45" s="9">
        <v>19.43</v>
      </c>
      <c r="F45" s="29">
        <v>6.27</v>
      </c>
    </row>
    <row r="46" spans="1:6" x14ac:dyDescent="0.2">
      <c r="A46" s="6" t="s">
        <v>118</v>
      </c>
      <c r="B46" s="7">
        <v>54.5</v>
      </c>
      <c r="C46" s="6">
        <v>20.260000000000002</v>
      </c>
      <c r="D46" s="6">
        <v>2</v>
      </c>
      <c r="E46" s="6">
        <v>20.21</v>
      </c>
      <c r="F46" s="28">
        <v>7.87</v>
      </c>
    </row>
    <row r="47" spans="1:6" x14ac:dyDescent="0.2">
      <c r="A47" s="9" t="s">
        <v>36</v>
      </c>
      <c r="B47" s="10">
        <v>90.5</v>
      </c>
      <c r="C47" s="9">
        <v>25.36</v>
      </c>
      <c r="D47" s="9">
        <v>6.96</v>
      </c>
      <c r="E47" s="9">
        <v>18.05</v>
      </c>
      <c r="F47" s="29">
        <v>6.68</v>
      </c>
    </row>
    <row r="48" spans="1:6" x14ac:dyDescent="0.2">
      <c r="A48" s="6" t="s">
        <v>127</v>
      </c>
      <c r="B48" s="7">
        <v>63.6</v>
      </c>
      <c r="C48" s="6">
        <v>18.64</v>
      </c>
      <c r="D48" s="6">
        <v>3.68</v>
      </c>
      <c r="E48" s="6">
        <v>26.3</v>
      </c>
      <c r="F48" s="28">
        <v>7.55</v>
      </c>
    </row>
    <row r="49" spans="1:6" x14ac:dyDescent="0.2">
      <c r="A49" s="9" t="s">
        <v>86</v>
      </c>
      <c r="B49" s="10">
        <v>81</v>
      </c>
      <c r="C49" s="9">
        <v>21.77</v>
      </c>
      <c r="D49" s="9">
        <v>7.36</v>
      </c>
      <c r="E49" s="9">
        <v>20.82</v>
      </c>
      <c r="F49" s="29">
        <v>10.220000000000001</v>
      </c>
    </row>
    <row r="50" spans="1:6" x14ac:dyDescent="0.2">
      <c r="A50" s="6" t="s">
        <v>65</v>
      </c>
      <c r="B50" s="7">
        <v>84.6</v>
      </c>
      <c r="C50" s="6">
        <v>20.260000000000002</v>
      </c>
      <c r="D50" s="6">
        <v>9.25</v>
      </c>
      <c r="E50" s="6">
        <v>24.66</v>
      </c>
      <c r="F50" s="28">
        <v>11.56</v>
      </c>
    </row>
    <row r="51" spans="1:6" x14ac:dyDescent="0.2">
      <c r="A51" s="9" t="s">
        <v>58</v>
      </c>
      <c r="B51" s="10">
        <v>61.1</v>
      </c>
      <c r="C51" s="9">
        <v>19</v>
      </c>
      <c r="D51" s="9">
        <v>9.68</v>
      </c>
      <c r="E51" s="9">
        <v>21.12</v>
      </c>
      <c r="F51" s="29">
        <v>6.27</v>
      </c>
    </row>
    <row r="52" spans="1:6" x14ac:dyDescent="0.2">
      <c r="A52" s="6" t="s">
        <v>21</v>
      </c>
      <c r="B52" s="7">
        <v>64.3</v>
      </c>
      <c r="C52" s="6">
        <v>19.399999999999999</v>
      </c>
      <c r="D52" s="6">
        <v>2.1800000000000002</v>
      </c>
      <c r="E52" s="6">
        <v>16.309999999999999</v>
      </c>
      <c r="F52" s="28">
        <v>10.5</v>
      </c>
    </row>
    <row r="53" spans="1:6" x14ac:dyDescent="0.2">
      <c r="A53" s="9" t="s">
        <v>12</v>
      </c>
      <c r="B53" s="10">
        <v>71.400000000000006</v>
      </c>
      <c r="C53" s="9">
        <v>20.16</v>
      </c>
      <c r="D53" s="9">
        <v>7.07</v>
      </c>
      <c r="E53" s="9">
        <v>22.84</v>
      </c>
      <c r="F53" s="29">
        <v>4.75</v>
      </c>
    </row>
    <row r="54" spans="1:6" x14ac:dyDescent="0.2">
      <c r="A54" s="6" t="s">
        <v>70</v>
      </c>
      <c r="B54" s="7">
        <v>76.5</v>
      </c>
      <c r="C54" s="6">
        <v>20.399999999999999</v>
      </c>
      <c r="D54" s="6">
        <v>9.7899999999999991</v>
      </c>
      <c r="E54" s="6">
        <v>20.36</v>
      </c>
      <c r="F54" s="28">
        <v>18.91</v>
      </c>
    </row>
    <row r="55" spans="1:6" x14ac:dyDescent="0.2">
      <c r="A55" s="9" t="s">
        <v>78</v>
      </c>
      <c r="B55" s="10">
        <v>66.7</v>
      </c>
      <c r="C55" s="9">
        <v>27.59</v>
      </c>
      <c r="D55" s="9">
        <v>10.48</v>
      </c>
      <c r="E55" s="9">
        <v>16.93</v>
      </c>
      <c r="F55" s="29">
        <v>4.83</v>
      </c>
    </row>
    <row r="56" spans="1:6" x14ac:dyDescent="0.2">
      <c r="A56" s="6" t="s">
        <v>97</v>
      </c>
      <c r="B56" s="7">
        <v>73.3</v>
      </c>
      <c r="C56" s="6">
        <v>21.65</v>
      </c>
      <c r="D56" s="6">
        <v>17.690000000000001</v>
      </c>
      <c r="E56" s="6">
        <v>23.03</v>
      </c>
      <c r="F56" s="28">
        <v>7.38</v>
      </c>
    </row>
    <row r="57" spans="1:6" x14ac:dyDescent="0.2">
      <c r="A57" s="9" t="s">
        <v>60</v>
      </c>
      <c r="B57" s="10">
        <v>71.400000000000006</v>
      </c>
      <c r="C57" s="9">
        <v>20.62</v>
      </c>
      <c r="D57" s="9">
        <v>8.14</v>
      </c>
      <c r="E57" s="9">
        <v>22.52</v>
      </c>
      <c r="F57" s="29">
        <v>9.73</v>
      </c>
    </row>
    <row r="58" spans="1:6" x14ac:dyDescent="0.2">
      <c r="A58" s="6" t="s">
        <v>1</v>
      </c>
      <c r="B58" s="7">
        <v>82.1</v>
      </c>
      <c r="C58" s="6">
        <v>22.5</v>
      </c>
      <c r="D58" s="6">
        <v>8</v>
      </c>
      <c r="E58" s="6">
        <v>15.55</v>
      </c>
      <c r="F58" s="28">
        <v>9.31</v>
      </c>
    </row>
    <row r="59" spans="1:6" x14ac:dyDescent="0.2">
      <c r="A59" s="9" t="s">
        <v>39</v>
      </c>
      <c r="B59" s="10">
        <v>83.3</v>
      </c>
      <c r="C59" s="9">
        <v>19.170000000000002</v>
      </c>
      <c r="D59" s="9">
        <v>9</v>
      </c>
      <c r="E59" s="9">
        <v>18.78</v>
      </c>
      <c r="F59" s="29">
        <v>12.33</v>
      </c>
    </row>
    <row r="60" spans="1:6" x14ac:dyDescent="0.2">
      <c r="A60" s="6" t="s">
        <v>93</v>
      </c>
      <c r="B60" s="7">
        <v>75</v>
      </c>
      <c r="C60" s="6">
        <v>17.39</v>
      </c>
      <c r="D60" s="6">
        <v>8.08</v>
      </c>
      <c r="E60" s="6">
        <v>19.21</v>
      </c>
      <c r="F60" s="28">
        <v>7.17</v>
      </c>
    </row>
    <row r="61" spans="1:6" x14ac:dyDescent="0.2">
      <c r="A61" s="9" t="s">
        <v>84</v>
      </c>
      <c r="B61" s="10">
        <v>81.8</v>
      </c>
      <c r="C61" s="9">
        <v>28.39</v>
      </c>
      <c r="D61" s="9">
        <v>11.39</v>
      </c>
      <c r="E61" s="9">
        <v>20.49</v>
      </c>
      <c r="F61" s="29">
        <v>11.47</v>
      </c>
    </row>
    <row r="62" spans="1:6" x14ac:dyDescent="0.2">
      <c r="A62" s="6" t="s">
        <v>104</v>
      </c>
      <c r="B62" s="7">
        <v>63.2</v>
      </c>
      <c r="C62" s="6">
        <v>21.22</v>
      </c>
      <c r="D62" s="6">
        <v>3.38</v>
      </c>
      <c r="E62" s="6">
        <v>21.63</v>
      </c>
      <c r="F62" s="28">
        <v>12.81</v>
      </c>
    </row>
    <row r="63" spans="1:6" x14ac:dyDescent="0.2">
      <c r="A63" s="9" t="s">
        <v>91</v>
      </c>
      <c r="B63" s="10">
        <v>75</v>
      </c>
      <c r="C63" s="9">
        <v>21.52</v>
      </c>
      <c r="D63" s="9">
        <v>4.67</v>
      </c>
      <c r="E63" s="9">
        <v>23.6</v>
      </c>
      <c r="F63" s="29">
        <v>9.7100000000000009</v>
      </c>
    </row>
    <row r="64" spans="1:6" x14ac:dyDescent="0.2">
      <c r="A64" s="6" t="s">
        <v>107</v>
      </c>
      <c r="B64" s="7">
        <v>81</v>
      </c>
      <c r="C64" s="6">
        <v>19.53</v>
      </c>
      <c r="D64" s="6">
        <v>3.5</v>
      </c>
      <c r="E64" s="6">
        <v>21.84</v>
      </c>
      <c r="F64" s="28">
        <v>10.17</v>
      </c>
    </row>
    <row r="65" spans="1:6" x14ac:dyDescent="0.2">
      <c r="A65" s="9" t="s">
        <v>34</v>
      </c>
      <c r="B65" s="10">
        <v>76</v>
      </c>
      <c r="C65" s="9">
        <v>17.71</v>
      </c>
      <c r="D65" s="9">
        <v>3.63</v>
      </c>
      <c r="E65" s="9">
        <v>19.13</v>
      </c>
      <c r="F65" s="29">
        <v>5.94</v>
      </c>
    </row>
    <row r="66" spans="1:6" x14ac:dyDescent="0.2">
      <c r="A66" s="6" t="s">
        <v>35</v>
      </c>
      <c r="B66" s="7">
        <v>78.900000000000006</v>
      </c>
      <c r="C66" s="6">
        <v>21.47</v>
      </c>
      <c r="D66" s="6">
        <v>11.26</v>
      </c>
      <c r="E66" s="6">
        <v>18.23</v>
      </c>
      <c r="F66" s="28">
        <v>12.5</v>
      </c>
    </row>
    <row r="67" spans="1:6" x14ac:dyDescent="0.2">
      <c r="A67" s="9" t="s">
        <v>10</v>
      </c>
      <c r="B67" s="10">
        <v>80</v>
      </c>
      <c r="C67" s="9">
        <v>15.08</v>
      </c>
      <c r="D67" s="9">
        <v>5.85</v>
      </c>
      <c r="E67" s="9">
        <v>26.5</v>
      </c>
      <c r="F67" s="29">
        <v>7.42</v>
      </c>
    </row>
    <row r="68" spans="1:6" x14ac:dyDescent="0.2">
      <c r="A68" s="6" t="s">
        <v>49</v>
      </c>
      <c r="B68" s="7">
        <v>86.7</v>
      </c>
      <c r="C68" s="6">
        <v>24.22</v>
      </c>
      <c r="D68" s="6">
        <v>6.09</v>
      </c>
      <c r="E68" s="6">
        <v>23.11</v>
      </c>
      <c r="F68" s="28">
        <v>15.82</v>
      </c>
    </row>
    <row r="69" spans="1:6" x14ac:dyDescent="0.2">
      <c r="A69" s="9" t="s">
        <v>83</v>
      </c>
      <c r="B69" s="10">
        <v>77.8</v>
      </c>
      <c r="C69" s="9">
        <v>17.600000000000001</v>
      </c>
      <c r="D69" s="9">
        <v>10.36</v>
      </c>
      <c r="E69" s="9">
        <v>18.89</v>
      </c>
      <c r="F69" s="29">
        <v>11.5</v>
      </c>
    </row>
    <row r="70" spans="1:6" x14ac:dyDescent="0.2">
      <c r="A70" s="6" t="s">
        <v>69</v>
      </c>
      <c r="B70" s="7">
        <v>89.5</v>
      </c>
      <c r="C70" s="6">
        <v>24.26</v>
      </c>
      <c r="D70" s="6">
        <v>12.67</v>
      </c>
      <c r="E70" s="6">
        <v>25.08</v>
      </c>
      <c r="F70" s="28">
        <v>12.44</v>
      </c>
    </row>
    <row r="71" spans="1:6" x14ac:dyDescent="0.2">
      <c r="A71" s="9" t="s">
        <v>111</v>
      </c>
      <c r="B71" s="10">
        <v>53.3</v>
      </c>
      <c r="C71" s="9">
        <v>22.92</v>
      </c>
      <c r="D71" s="9">
        <v>5.27</v>
      </c>
      <c r="E71" s="9">
        <v>22.57</v>
      </c>
      <c r="F71" s="29">
        <v>3.6</v>
      </c>
    </row>
    <row r="72" spans="1:6" x14ac:dyDescent="0.2">
      <c r="A72" s="6" t="s">
        <v>50</v>
      </c>
      <c r="B72" s="7">
        <v>58.8</v>
      </c>
      <c r="C72" s="6">
        <v>16.760000000000002</v>
      </c>
      <c r="D72" s="6">
        <v>8.2899999999999991</v>
      </c>
      <c r="E72" s="6">
        <v>22.11</v>
      </c>
      <c r="F72" s="28">
        <v>10.74</v>
      </c>
    </row>
    <row r="73" spans="1:6" x14ac:dyDescent="0.2">
      <c r="A73" s="9" t="s">
        <v>82</v>
      </c>
      <c r="B73" s="10">
        <v>87</v>
      </c>
      <c r="C73" s="9">
        <v>20.72</v>
      </c>
      <c r="D73" s="9">
        <v>13.17</v>
      </c>
      <c r="E73" s="9">
        <v>19.12</v>
      </c>
      <c r="F73" s="29">
        <v>8.8000000000000007</v>
      </c>
    </row>
    <row r="74" spans="1:6" x14ac:dyDescent="0.2">
      <c r="A74" s="6" t="s">
        <v>46</v>
      </c>
      <c r="B74" s="7">
        <v>50</v>
      </c>
      <c r="C74" s="6">
        <v>25.68</v>
      </c>
      <c r="D74" s="6">
        <v>12.96</v>
      </c>
      <c r="E74" s="6">
        <v>20.3</v>
      </c>
      <c r="F74" s="28">
        <v>2.89</v>
      </c>
    </row>
    <row r="75" spans="1:6" x14ac:dyDescent="0.2">
      <c r="A75" s="9" t="s">
        <v>16</v>
      </c>
      <c r="B75" s="10">
        <v>64.3</v>
      </c>
      <c r="C75" s="9">
        <v>20.96</v>
      </c>
      <c r="D75" s="9">
        <v>8.6</v>
      </c>
      <c r="E75" s="9">
        <v>24.25</v>
      </c>
      <c r="F75" s="29">
        <v>9.5299999999999994</v>
      </c>
    </row>
    <row r="76" spans="1:6" x14ac:dyDescent="0.2">
      <c r="A76" s="6" t="s">
        <v>51</v>
      </c>
      <c r="B76" s="7">
        <v>77.8</v>
      </c>
      <c r="C76" s="6">
        <v>24.36</v>
      </c>
      <c r="D76" s="6">
        <v>7.14</v>
      </c>
      <c r="E76" s="6">
        <v>16.88</v>
      </c>
      <c r="F76" s="28">
        <v>5.2</v>
      </c>
    </row>
    <row r="77" spans="1:6" x14ac:dyDescent="0.2">
      <c r="A77" s="9" t="s">
        <v>55</v>
      </c>
      <c r="B77" s="10">
        <v>66.7</v>
      </c>
      <c r="C77" s="9">
        <v>25.06</v>
      </c>
      <c r="D77" s="9">
        <v>8.31</v>
      </c>
      <c r="E77" s="9">
        <v>20.72</v>
      </c>
      <c r="F77" s="29">
        <v>1.94</v>
      </c>
    </row>
    <row r="78" spans="1:6" x14ac:dyDescent="0.2">
      <c r="A78" s="6" t="s">
        <v>23</v>
      </c>
      <c r="B78" s="7">
        <v>88.2</v>
      </c>
      <c r="C78" s="6">
        <v>21.15</v>
      </c>
      <c r="D78" s="6">
        <v>7.96</v>
      </c>
      <c r="E78" s="6">
        <v>22.12</v>
      </c>
      <c r="F78" s="28">
        <v>8.82</v>
      </c>
    </row>
    <row r="79" spans="1:6" x14ac:dyDescent="0.2">
      <c r="A79" s="9" t="s">
        <v>13</v>
      </c>
      <c r="B79" s="10">
        <v>72.7</v>
      </c>
      <c r="C79" s="9">
        <v>20.16</v>
      </c>
      <c r="D79" s="9">
        <v>6.55</v>
      </c>
      <c r="E79" s="9">
        <v>18.66</v>
      </c>
      <c r="F79" s="29">
        <v>2.94</v>
      </c>
    </row>
    <row r="80" spans="1:6" x14ac:dyDescent="0.2">
      <c r="A80" s="6" t="s">
        <v>4</v>
      </c>
      <c r="B80" s="7">
        <v>66.7</v>
      </c>
      <c r="C80" s="6">
        <v>24.12</v>
      </c>
      <c r="D80" s="6">
        <v>13.07</v>
      </c>
      <c r="E80" s="6">
        <v>16.260000000000002</v>
      </c>
      <c r="F80" s="28">
        <v>3.58</v>
      </c>
    </row>
    <row r="81" spans="1:6" x14ac:dyDescent="0.2">
      <c r="A81" s="9" t="s">
        <v>3</v>
      </c>
      <c r="B81" s="10">
        <v>79.2</v>
      </c>
      <c r="C81" s="9">
        <v>21.45</v>
      </c>
      <c r="D81" s="9">
        <v>7.5</v>
      </c>
      <c r="E81" s="9">
        <v>21.46</v>
      </c>
      <c r="F81" s="29">
        <v>1.0900000000000001</v>
      </c>
    </row>
    <row r="82" spans="1:6" x14ac:dyDescent="0.2">
      <c r="A82" s="6" t="s">
        <v>2</v>
      </c>
      <c r="B82" s="7">
        <v>76.2</v>
      </c>
      <c r="C82" s="6">
        <v>20.67</v>
      </c>
      <c r="D82" s="6">
        <v>6.67</v>
      </c>
      <c r="E82" s="6">
        <v>23.01</v>
      </c>
      <c r="F82" s="28">
        <v>4.7</v>
      </c>
    </row>
    <row r="83" spans="1:6" x14ac:dyDescent="0.2">
      <c r="A83" s="9" t="s">
        <v>113</v>
      </c>
      <c r="B83" s="10">
        <v>70.599999999999994</v>
      </c>
      <c r="C83" s="9">
        <v>21.13</v>
      </c>
      <c r="D83" s="9">
        <v>2.13</v>
      </c>
      <c r="E83" s="9">
        <v>19.78</v>
      </c>
      <c r="F83" s="29">
        <v>9.4</v>
      </c>
    </row>
    <row r="84" spans="1:6" x14ac:dyDescent="0.2">
      <c r="A84" s="6" t="s">
        <v>18</v>
      </c>
      <c r="B84" s="7">
        <v>91.7</v>
      </c>
      <c r="C84" s="6">
        <v>25.16</v>
      </c>
      <c r="D84" s="6">
        <v>12.58</v>
      </c>
      <c r="E84" s="6">
        <v>22.42</v>
      </c>
      <c r="F84" s="28">
        <v>15.28</v>
      </c>
    </row>
    <row r="85" spans="1:6" x14ac:dyDescent="0.2">
      <c r="A85" s="9" t="s">
        <v>112</v>
      </c>
      <c r="B85" s="10">
        <v>73.3</v>
      </c>
      <c r="C85" s="9">
        <v>20.66</v>
      </c>
      <c r="D85" s="9">
        <v>13.33</v>
      </c>
      <c r="E85" s="9">
        <v>21.5</v>
      </c>
      <c r="F85" s="29">
        <v>10.44</v>
      </c>
    </row>
    <row r="86" spans="1:6" x14ac:dyDescent="0.2">
      <c r="A86" s="6" t="s">
        <v>6</v>
      </c>
      <c r="B86" s="7">
        <v>85.7</v>
      </c>
      <c r="C86" s="6">
        <v>21.91</v>
      </c>
      <c r="D86" s="6">
        <v>7.13</v>
      </c>
      <c r="E86" s="6">
        <v>24.79</v>
      </c>
      <c r="F86" s="28">
        <v>6.13</v>
      </c>
    </row>
    <row r="87" spans="1:6" x14ac:dyDescent="0.2">
      <c r="A87" s="9" t="s">
        <v>99</v>
      </c>
      <c r="B87" s="10">
        <v>65.2</v>
      </c>
      <c r="C87" s="9">
        <v>24.8</v>
      </c>
      <c r="D87" s="9">
        <v>6.32</v>
      </c>
      <c r="E87" s="9">
        <v>19.46</v>
      </c>
      <c r="F87" s="29">
        <v>4.1900000000000004</v>
      </c>
    </row>
    <row r="88" spans="1:6" x14ac:dyDescent="0.2">
      <c r="A88" s="6" t="s">
        <v>96</v>
      </c>
      <c r="B88" s="7">
        <v>45.5</v>
      </c>
      <c r="C88" s="6">
        <v>19.739999999999998</v>
      </c>
      <c r="D88" s="6">
        <v>7.3</v>
      </c>
      <c r="E88" s="6">
        <v>23.79</v>
      </c>
      <c r="F88" s="28">
        <v>9</v>
      </c>
    </row>
    <row r="89" spans="1:6" x14ac:dyDescent="0.2">
      <c r="A89" s="9" t="s">
        <v>123</v>
      </c>
      <c r="B89" s="10">
        <v>60</v>
      </c>
      <c r="C89" s="9">
        <v>21.37</v>
      </c>
      <c r="D89" s="9">
        <v>7.53</v>
      </c>
      <c r="E89" s="9">
        <v>23.16</v>
      </c>
      <c r="F89" s="29">
        <v>10.77</v>
      </c>
    </row>
    <row r="90" spans="1:6" x14ac:dyDescent="0.2">
      <c r="A90" s="6" t="s">
        <v>119</v>
      </c>
      <c r="B90" s="7">
        <v>75</v>
      </c>
      <c r="C90" s="6">
        <v>21.43</v>
      </c>
      <c r="D90" s="6">
        <v>13.92</v>
      </c>
      <c r="E90" s="6">
        <v>18.75</v>
      </c>
      <c r="F90" s="28">
        <v>11.47</v>
      </c>
    </row>
    <row r="91" spans="1:6" x14ac:dyDescent="0.2">
      <c r="A91" s="9" t="s">
        <v>48</v>
      </c>
      <c r="B91" s="10">
        <v>77.3</v>
      </c>
      <c r="C91" s="9">
        <v>29.06</v>
      </c>
      <c r="D91" s="9">
        <v>9.92</v>
      </c>
      <c r="E91" s="9">
        <v>22.74</v>
      </c>
      <c r="F91" s="29">
        <v>5</v>
      </c>
    </row>
    <row r="92" spans="1:6" x14ac:dyDescent="0.2">
      <c r="A92" s="6" t="s">
        <v>124</v>
      </c>
      <c r="B92" s="7">
        <v>57.9</v>
      </c>
      <c r="C92" s="6">
        <v>22.97</v>
      </c>
      <c r="D92" s="6">
        <v>14</v>
      </c>
      <c r="E92" s="6">
        <v>25.63</v>
      </c>
      <c r="F92" s="28">
        <v>7.29</v>
      </c>
    </row>
    <row r="93" spans="1:6" x14ac:dyDescent="0.2">
      <c r="A93" s="9" t="s">
        <v>7</v>
      </c>
      <c r="B93" s="10">
        <v>72.7</v>
      </c>
      <c r="C93" s="9">
        <v>22.25</v>
      </c>
      <c r="D93" s="9">
        <v>3.15</v>
      </c>
      <c r="E93" s="9">
        <v>22.35</v>
      </c>
      <c r="F93" s="29">
        <v>11.15</v>
      </c>
    </row>
    <row r="94" spans="1:6" x14ac:dyDescent="0.2">
      <c r="A94" s="6" t="s">
        <v>116</v>
      </c>
      <c r="B94" s="7">
        <v>84.2</v>
      </c>
      <c r="C94" s="6">
        <v>24.18</v>
      </c>
      <c r="D94" s="6">
        <v>6.14</v>
      </c>
      <c r="E94" s="6">
        <v>20.14</v>
      </c>
      <c r="F94" s="28">
        <v>14</v>
      </c>
    </row>
    <row r="95" spans="1:6" x14ac:dyDescent="0.2">
      <c r="A95" s="9" t="s">
        <v>98</v>
      </c>
      <c r="B95" s="10">
        <v>71.400000000000006</v>
      </c>
      <c r="C95" s="9">
        <v>23.41</v>
      </c>
      <c r="D95" s="9">
        <v>4.58</v>
      </c>
      <c r="E95" s="9">
        <v>19.07</v>
      </c>
      <c r="F95" s="29">
        <v>8.1</v>
      </c>
    </row>
    <row r="96" spans="1:6" x14ac:dyDescent="0.2">
      <c r="A96" s="6" t="s">
        <v>15</v>
      </c>
      <c r="B96" s="7">
        <v>65.2</v>
      </c>
      <c r="C96" s="6">
        <v>26.66</v>
      </c>
      <c r="D96" s="6">
        <v>10.9</v>
      </c>
      <c r="E96" s="6">
        <v>19.940000000000001</v>
      </c>
      <c r="F96" s="28">
        <v>8.24</v>
      </c>
    </row>
    <row r="97" spans="1:6" x14ac:dyDescent="0.2">
      <c r="A97" s="9" t="s">
        <v>47</v>
      </c>
      <c r="B97" s="10">
        <v>68.400000000000006</v>
      </c>
      <c r="C97" s="9">
        <v>23.29</v>
      </c>
      <c r="D97" s="9">
        <v>4.78</v>
      </c>
      <c r="E97" s="9">
        <v>18.88</v>
      </c>
      <c r="F97" s="29">
        <v>8.94</v>
      </c>
    </row>
    <row r="98" spans="1:6" x14ac:dyDescent="0.2">
      <c r="A98" s="6" t="s">
        <v>37</v>
      </c>
      <c r="B98" s="7">
        <v>90</v>
      </c>
      <c r="C98" s="6">
        <v>24.33</v>
      </c>
      <c r="D98" s="6">
        <v>9.06</v>
      </c>
      <c r="E98" s="6">
        <v>21.04</v>
      </c>
      <c r="F98" s="28">
        <v>8.4499999999999993</v>
      </c>
    </row>
    <row r="99" spans="1:6" x14ac:dyDescent="0.2">
      <c r="A99" s="9" t="s">
        <v>75</v>
      </c>
      <c r="B99" s="10">
        <v>72.7</v>
      </c>
      <c r="C99" s="9">
        <v>21.08</v>
      </c>
      <c r="D99" s="9">
        <v>15.94</v>
      </c>
      <c r="E99" s="9">
        <v>21.89</v>
      </c>
      <c r="F99" s="29">
        <v>8.5</v>
      </c>
    </row>
    <row r="100" spans="1:6" x14ac:dyDescent="0.2">
      <c r="A100" s="6" t="s">
        <v>27</v>
      </c>
      <c r="B100" s="7">
        <v>84</v>
      </c>
      <c r="C100" s="6">
        <v>24.49</v>
      </c>
      <c r="D100" s="6">
        <v>10.11</v>
      </c>
      <c r="E100" s="6">
        <v>20.43</v>
      </c>
      <c r="F100" s="28">
        <v>2.54</v>
      </c>
    </row>
    <row r="101" spans="1:6" x14ac:dyDescent="0.2">
      <c r="A101" s="9" t="s">
        <v>90</v>
      </c>
      <c r="B101" s="10">
        <v>82.1</v>
      </c>
      <c r="C101" s="9">
        <v>20.77</v>
      </c>
      <c r="D101" s="9">
        <v>10.14</v>
      </c>
      <c r="E101" s="9">
        <v>20.02</v>
      </c>
      <c r="F101" s="29">
        <v>8.75</v>
      </c>
    </row>
    <row r="102" spans="1:6" x14ac:dyDescent="0.2">
      <c r="A102" s="6" t="s">
        <v>117</v>
      </c>
      <c r="B102" s="7">
        <v>67.7</v>
      </c>
      <c r="C102" s="6">
        <v>33.409999999999997</v>
      </c>
      <c r="D102" s="6">
        <v>17.18</v>
      </c>
      <c r="E102" s="6">
        <v>18.239999999999998</v>
      </c>
      <c r="F102" s="28">
        <v>11.26</v>
      </c>
    </row>
    <row r="103" spans="1:6" x14ac:dyDescent="0.2">
      <c r="A103" s="9" t="s">
        <v>61</v>
      </c>
      <c r="B103" s="10">
        <v>76.5</v>
      </c>
      <c r="C103" s="9">
        <v>19.77</v>
      </c>
      <c r="D103" s="9">
        <v>12.13</v>
      </c>
      <c r="E103" s="9">
        <v>26.33</v>
      </c>
      <c r="F103" s="29">
        <v>3.85</v>
      </c>
    </row>
    <row r="104" spans="1:6" x14ac:dyDescent="0.2">
      <c r="A104" s="6" t="s">
        <v>43</v>
      </c>
      <c r="B104" s="7">
        <v>71</v>
      </c>
      <c r="C104" s="6">
        <v>19.940000000000001</v>
      </c>
      <c r="D104" s="6">
        <v>19.68</v>
      </c>
      <c r="E104" s="6">
        <v>19.03</v>
      </c>
      <c r="F104" s="28">
        <v>10.95</v>
      </c>
    </row>
    <row r="105" spans="1:6" x14ac:dyDescent="0.2">
      <c r="A105" s="9" t="s">
        <v>121</v>
      </c>
      <c r="B105" s="10">
        <v>57.9</v>
      </c>
      <c r="C105" s="9">
        <v>19.809999999999999</v>
      </c>
      <c r="D105" s="9">
        <v>12.2</v>
      </c>
      <c r="E105" s="9">
        <v>36.06</v>
      </c>
      <c r="F105" s="29">
        <v>8.6999999999999993</v>
      </c>
    </row>
    <row r="106" spans="1:6" x14ac:dyDescent="0.2">
      <c r="A106" s="6" t="s">
        <v>28</v>
      </c>
      <c r="B106" s="7">
        <v>84.2</v>
      </c>
      <c r="C106" s="6">
        <v>20.53</v>
      </c>
      <c r="D106" s="6">
        <v>6.29</v>
      </c>
      <c r="E106" s="6">
        <v>25.05</v>
      </c>
      <c r="F106" s="28">
        <v>12.38</v>
      </c>
    </row>
    <row r="107" spans="1:6" x14ac:dyDescent="0.2">
      <c r="A107" s="9" t="s">
        <v>14</v>
      </c>
      <c r="B107" s="10">
        <v>70.400000000000006</v>
      </c>
      <c r="C107" s="9">
        <v>21.66</v>
      </c>
      <c r="D107" s="9">
        <v>10.96</v>
      </c>
      <c r="E107" s="9">
        <v>19.21</v>
      </c>
      <c r="F107" s="29">
        <v>8.6199999999999992</v>
      </c>
    </row>
    <row r="108" spans="1:6" x14ac:dyDescent="0.2">
      <c r="A108" s="6" t="s">
        <v>53</v>
      </c>
      <c r="B108" s="7">
        <v>76.2</v>
      </c>
      <c r="C108" s="6">
        <v>17.670000000000002</v>
      </c>
      <c r="D108" s="6">
        <v>12.37</v>
      </c>
      <c r="E108" s="6">
        <v>17.5</v>
      </c>
      <c r="F108" s="28">
        <v>10</v>
      </c>
    </row>
    <row r="109" spans="1:6" x14ac:dyDescent="0.2">
      <c r="A109" s="9" t="s">
        <v>74</v>
      </c>
      <c r="B109" s="10">
        <v>75</v>
      </c>
      <c r="C109" s="9">
        <v>18.28</v>
      </c>
      <c r="D109" s="9">
        <v>6.29</v>
      </c>
      <c r="E109" s="9">
        <v>23.82</v>
      </c>
      <c r="F109" s="29">
        <v>13.08</v>
      </c>
    </row>
    <row r="110" spans="1:6" x14ac:dyDescent="0.2">
      <c r="A110" s="6" t="s">
        <v>59</v>
      </c>
      <c r="B110" s="7">
        <v>68</v>
      </c>
      <c r="C110" s="6">
        <v>19.63</v>
      </c>
      <c r="D110" s="6">
        <v>12.67</v>
      </c>
      <c r="E110" s="6">
        <v>22.46</v>
      </c>
      <c r="F110" s="28">
        <v>11</v>
      </c>
    </row>
    <row r="111" spans="1:6" x14ac:dyDescent="0.2">
      <c r="A111" s="9" t="s">
        <v>0</v>
      </c>
      <c r="B111" s="10">
        <v>76.5</v>
      </c>
      <c r="C111" s="9">
        <v>22.95</v>
      </c>
      <c r="D111" s="9">
        <v>6</v>
      </c>
      <c r="E111" s="9">
        <v>20.57</v>
      </c>
      <c r="F111" s="29">
        <v>7.52</v>
      </c>
    </row>
    <row r="112" spans="1:6" x14ac:dyDescent="0.2">
      <c r="A112" s="6" t="s">
        <v>31</v>
      </c>
      <c r="B112" s="7">
        <v>83.3</v>
      </c>
      <c r="C112" s="6">
        <v>22.51</v>
      </c>
      <c r="D112" s="6">
        <v>10.95</v>
      </c>
      <c r="E112" s="6">
        <v>23.83</v>
      </c>
      <c r="F112" s="28">
        <v>6.67</v>
      </c>
    </row>
    <row r="113" spans="1:6" x14ac:dyDescent="0.2">
      <c r="A113" s="9" t="s">
        <v>62</v>
      </c>
      <c r="B113" s="10">
        <v>70.599999999999994</v>
      </c>
      <c r="C113" s="9">
        <v>21.09</v>
      </c>
      <c r="D113" s="9">
        <v>5.5</v>
      </c>
      <c r="E113" s="9">
        <v>22.5</v>
      </c>
      <c r="F113" s="29">
        <v>14</v>
      </c>
    </row>
    <row r="114" spans="1:6" x14ac:dyDescent="0.2">
      <c r="A114" s="6" t="s">
        <v>26</v>
      </c>
      <c r="B114" s="7">
        <v>76.5</v>
      </c>
      <c r="C114" s="6">
        <v>18.920000000000002</v>
      </c>
      <c r="D114" s="6">
        <v>9.44</v>
      </c>
      <c r="E114" s="6">
        <v>20.69</v>
      </c>
      <c r="F114" s="28">
        <v>13.88</v>
      </c>
    </row>
    <row r="115" spans="1:6" x14ac:dyDescent="0.2">
      <c r="A115" s="9" t="s">
        <v>57</v>
      </c>
      <c r="B115" s="10">
        <v>85.2</v>
      </c>
      <c r="C115" s="9">
        <v>21.9</v>
      </c>
      <c r="D115" s="9">
        <v>10.83</v>
      </c>
      <c r="E115" s="9">
        <v>20.71</v>
      </c>
      <c r="F115" s="29">
        <v>7.18</v>
      </c>
    </row>
    <row r="116" spans="1:6" x14ac:dyDescent="0.2">
      <c r="A116" s="6" t="s">
        <v>44</v>
      </c>
      <c r="B116" s="7">
        <v>64.7</v>
      </c>
      <c r="C116" s="6">
        <v>25.64</v>
      </c>
      <c r="D116" s="6">
        <v>9.75</v>
      </c>
      <c r="E116" s="6">
        <v>21.93</v>
      </c>
      <c r="F116" s="28">
        <v>8.2200000000000006</v>
      </c>
    </row>
    <row r="117" spans="1:6" x14ac:dyDescent="0.2">
      <c r="A117" s="9" t="s">
        <v>128</v>
      </c>
      <c r="B117" s="10">
        <v>78.900000000000006</v>
      </c>
      <c r="C117" s="9">
        <v>19.559999999999999</v>
      </c>
      <c r="D117" s="9">
        <v>8.2799999999999994</v>
      </c>
      <c r="E117" s="9">
        <v>21.71</v>
      </c>
      <c r="F117" s="29">
        <v>9.34</v>
      </c>
    </row>
    <row r="118" spans="1:6" x14ac:dyDescent="0.2">
      <c r="A118" s="6" t="s">
        <v>102</v>
      </c>
      <c r="B118" s="7">
        <v>55.6</v>
      </c>
      <c r="C118" s="6">
        <v>20.76</v>
      </c>
      <c r="D118" s="6">
        <v>5.16</v>
      </c>
      <c r="E118" s="6">
        <v>23.23</v>
      </c>
      <c r="F118" s="28">
        <v>6.29</v>
      </c>
    </row>
    <row r="119" spans="1:6" x14ac:dyDescent="0.2">
      <c r="A119" s="9" t="s">
        <v>92</v>
      </c>
      <c r="B119" s="10">
        <v>63.2</v>
      </c>
      <c r="C119" s="9">
        <v>19.600000000000001</v>
      </c>
      <c r="D119" s="9">
        <v>6.35</v>
      </c>
      <c r="E119" s="9">
        <v>18.420000000000002</v>
      </c>
      <c r="F119" s="29">
        <v>15.1</v>
      </c>
    </row>
    <row r="120" spans="1:6" x14ac:dyDescent="0.2">
      <c r="A120" s="6" t="s">
        <v>100</v>
      </c>
      <c r="B120" s="7">
        <v>77.3</v>
      </c>
      <c r="C120" s="6">
        <v>17.670000000000002</v>
      </c>
      <c r="D120" s="6">
        <v>16</v>
      </c>
      <c r="E120" s="6">
        <v>22.97</v>
      </c>
      <c r="F120" s="28">
        <v>7.83</v>
      </c>
    </row>
    <row r="121" spans="1:6" x14ac:dyDescent="0.2">
      <c r="A121" s="9" t="s">
        <v>64</v>
      </c>
      <c r="B121" s="10">
        <v>74.2</v>
      </c>
      <c r="C121" s="9">
        <v>22.26</v>
      </c>
      <c r="D121" s="9">
        <v>8.59</v>
      </c>
      <c r="E121" s="9">
        <v>20.48</v>
      </c>
      <c r="F121" s="29">
        <v>2.84</v>
      </c>
    </row>
    <row r="122" spans="1:6" x14ac:dyDescent="0.2">
      <c r="A122" s="6" t="s">
        <v>32</v>
      </c>
      <c r="B122" s="7">
        <v>61.1</v>
      </c>
      <c r="C122" s="6">
        <v>18.21</v>
      </c>
      <c r="D122" s="6">
        <v>3.75</v>
      </c>
      <c r="E122" s="6">
        <v>22.22</v>
      </c>
      <c r="F122" s="28">
        <v>7.22</v>
      </c>
    </row>
    <row r="123" spans="1:6" x14ac:dyDescent="0.2">
      <c r="A123" s="9" t="s">
        <v>17</v>
      </c>
      <c r="B123" s="10">
        <v>76.2</v>
      </c>
      <c r="C123" s="9">
        <v>20.23</v>
      </c>
      <c r="D123" s="9">
        <v>16</v>
      </c>
      <c r="E123" s="9">
        <v>22.02</v>
      </c>
      <c r="F123" s="29">
        <v>6.67</v>
      </c>
    </row>
    <row r="124" spans="1:6" x14ac:dyDescent="0.2">
      <c r="A124" s="6" t="s">
        <v>41</v>
      </c>
      <c r="B124" s="7">
        <v>76.900000000000006</v>
      </c>
      <c r="C124" s="6">
        <v>20.55</v>
      </c>
      <c r="D124" s="6">
        <v>7.06</v>
      </c>
      <c r="E124" s="6">
        <v>20.45</v>
      </c>
      <c r="F124" s="28">
        <v>14.5</v>
      </c>
    </row>
    <row r="125" spans="1:6" x14ac:dyDescent="0.2">
      <c r="A125" s="9" t="s">
        <v>20</v>
      </c>
      <c r="B125" s="10">
        <v>75</v>
      </c>
      <c r="C125" s="9">
        <v>25.63</v>
      </c>
      <c r="D125" s="9">
        <v>5.54</v>
      </c>
      <c r="E125" s="9">
        <v>23.81</v>
      </c>
      <c r="F125" s="29">
        <v>4.68</v>
      </c>
    </row>
    <row r="126" spans="1:6" x14ac:dyDescent="0.2">
      <c r="A126" s="6" t="s">
        <v>80</v>
      </c>
      <c r="B126" s="7">
        <v>93.8</v>
      </c>
      <c r="C126" s="6">
        <v>21.1</v>
      </c>
      <c r="D126" s="6">
        <v>7.56</v>
      </c>
      <c r="E126" s="6">
        <v>19.079999999999998</v>
      </c>
      <c r="F126" s="28">
        <v>7.33</v>
      </c>
    </row>
    <row r="127" spans="1:6" x14ac:dyDescent="0.2">
      <c r="A127" s="9" t="s">
        <v>29</v>
      </c>
      <c r="B127" s="10">
        <v>77.3</v>
      </c>
      <c r="C127" s="9">
        <v>21.71</v>
      </c>
      <c r="D127" s="9">
        <v>8.8000000000000007</v>
      </c>
      <c r="E127" s="9">
        <v>20.420000000000002</v>
      </c>
      <c r="F127" s="29">
        <v>4.29</v>
      </c>
    </row>
    <row r="128" spans="1:6" x14ac:dyDescent="0.2">
      <c r="A128" s="6" t="s">
        <v>25</v>
      </c>
      <c r="B128" s="7">
        <v>66.7</v>
      </c>
      <c r="C128" s="6">
        <v>19.82</v>
      </c>
      <c r="D128" s="6">
        <v>7.28</v>
      </c>
      <c r="E128" s="6">
        <v>16.62</v>
      </c>
      <c r="F128" s="28">
        <v>4.0599999999999996</v>
      </c>
    </row>
    <row r="129" spans="1:6" x14ac:dyDescent="0.2">
      <c r="A129" s="2" t="s">
        <v>106</v>
      </c>
      <c r="B129" s="4">
        <v>25</v>
      </c>
      <c r="C129" s="2">
        <v>23.52</v>
      </c>
      <c r="D129" s="2">
        <v>7.5</v>
      </c>
      <c r="E129" s="2">
        <v>21.29</v>
      </c>
      <c r="F129" s="30">
        <v>4.62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9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6.832031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86.4</v>
      </c>
      <c r="C2" s="6">
        <v>20.85</v>
      </c>
      <c r="D2" s="6">
        <v>5.07</v>
      </c>
      <c r="E2" s="6">
        <v>20.69</v>
      </c>
      <c r="F2" s="28">
        <v>10.44</v>
      </c>
      <c r="H2">
        <v>1</v>
      </c>
      <c r="I2" t="s">
        <v>4</v>
      </c>
      <c r="J2">
        <f>VLOOKUP(I2,'ST 2014'!$A$2:$F$129,2)</f>
        <v>65</v>
      </c>
      <c r="K2">
        <f>VLOOKUP(I2,'ST 2014'!$A$2:$F$129,3)</f>
        <v>22.72</v>
      </c>
      <c r="L2">
        <f>VLOOKUP(I2,'ST 2014'!$A$2:$F$129,4)</f>
        <v>11.28</v>
      </c>
      <c r="M2">
        <f>VLOOKUP(I2,'ST 2014'!$A$2:$F$129,5)</f>
        <v>17.239999999999998</v>
      </c>
      <c r="N2">
        <f>VLOOKUP(I2,'ST 2014'!$A$2:$F$129,6)</f>
        <v>4.13</v>
      </c>
      <c r="O2">
        <v>2014</v>
      </c>
    </row>
    <row r="3" spans="1:15" x14ac:dyDescent="0.2">
      <c r="A3" s="9" t="s">
        <v>103</v>
      </c>
      <c r="B3" s="10">
        <v>72.2</v>
      </c>
      <c r="C3" s="9">
        <v>19.559999999999999</v>
      </c>
      <c r="D3" s="9">
        <v>3.75</v>
      </c>
      <c r="E3" s="9">
        <v>19.260000000000002</v>
      </c>
      <c r="F3" s="29">
        <v>9.19</v>
      </c>
      <c r="H3">
        <v>2</v>
      </c>
      <c r="I3" t="s">
        <v>18</v>
      </c>
      <c r="J3">
        <f>VLOOKUP(I3,'ST 2014'!$A$2:$F$129,2)</f>
        <v>85.7</v>
      </c>
      <c r="K3">
        <f>VLOOKUP(I3,'ST 2014'!$A$2:$F$129,3)</f>
        <v>19.690000000000001</v>
      </c>
      <c r="L3">
        <f>VLOOKUP(I3,'ST 2014'!$A$2:$F$129,4)</f>
        <v>12.89</v>
      </c>
      <c r="M3">
        <f>VLOOKUP(I3,'ST 2014'!$A$2:$F$129,5)</f>
        <v>21.39</v>
      </c>
      <c r="N3">
        <f>VLOOKUP(I3,'ST 2014'!$A$2:$F$129,6)</f>
        <v>10.42</v>
      </c>
      <c r="O3">
        <v>2014</v>
      </c>
    </row>
    <row r="4" spans="1:15" x14ac:dyDescent="0.2">
      <c r="A4" s="6" t="s">
        <v>11</v>
      </c>
      <c r="B4" s="7">
        <v>63.6</v>
      </c>
      <c r="C4" s="6">
        <v>20.53</v>
      </c>
      <c r="D4" s="6">
        <v>9.36</v>
      </c>
      <c r="E4" s="6">
        <v>21.52</v>
      </c>
      <c r="F4" s="28">
        <v>8.9600000000000009</v>
      </c>
      <c r="H4">
        <v>3</v>
      </c>
      <c r="I4" t="s">
        <v>27</v>
      </c>
      <c r="J4">
        <f>VLOOKUP(I4,'ST 2014'!$A$2:$F$129,2)</f>
        <v>81.5</v>
      </c>
      <c r="K4">
        <f>VLOOKUP(I4,'ST 2014'!$A$2:$F$129,3)</f>
        <v>21.62</v>
      </c>
      <c r="L4">
        <f>VLOOKUP(I4,'ST 2014'!$A$2:$F$129,4)</f>
        <v>9.86</v>
      </c>
      <c r="M4">
        <f>VLOOKUP(I4,'ST 2014'!$A$2:$F$129,5)</f>
        <v>20.190000000000001</v>
      </c>
      <c r="N4">
        <f>VLOOKUP(I4,'ST 2014'!$A$2:$F$129,6)</f>
        <v>7.42</v>
      </c>
      <c r="O4">
        <v>2014</v>
      </c>
    </row>
    <row r="5" spans="1:15" x14ac:dyDescent="0.2">
      <c r="A5" s="9" t="s">
        <v>45</v>
      </c>
      <c r="B5" s="10">
        <v>53.3</v>
      </c>
      <c r="C5" s="9">
        <v>17.22</v>
      </c>
      <c r="D5" s="9">
        <v>5.42</v>
      </c>
      <c r="E5" s="9">
        <v>23.24</v>
      </c>
      <c r="F5" s="29">
        <v>0</v>
      </c>
      <c r="H5">
        <v>4</v>
      </c>
      <c r="I5" t="s">
        <v>11</v>
      </c>
      <c r="J5">
        <f>VLOOKUP(I5,'ST 2014'!$A$2:$F$129,2)</f>
        <v>63.6</v>
      </c>
      <c r="K5">
        <f>VLOOKUP(I5,'ST 2014'!$A$2:$F$129,3)</f>
        <v>20.53</v>
      </c>
      <c r="L5">
        <f>VLOOKUP(I5,'ST 2014'!$A$2:$F$129,4)</f>
        <v>9.36</v>
      </c>
      <c r="M5">
        <f>VLOOKUP(I5,'ST 2014'!$A$2:$F$129,5)</f>
        <v>21.52</v>
      </c>
      <c r="N5">
        <f>VLOOKUP(I5,'ST 2014'!$A$2:$F$129,6)</f>
        <v>8.9600000000000009</v>
      </c>
      <c r="O5">
        <v>2014</v>
      </c>
    </row>
    <row r="6" spans="1:15" x14ac:dyDescent="0.2">
      <c r="A6" s="6" t="s">
        <v>5</v>
      </c>
      <c r="B6" s="7">
        <v>71.400000000000006</v>
      </c>
      <c r="C6" s="6">
        <v>21.5</v>
      </c>
      <c r="D6" s="6">
        <v>10.24</v>
      </c>
      <c r="E6" s="6">
        <v>18.489999999999998</v>
      </c>
      <c r="F6" s="28">
        <v>10.59</v>
      </c>
      <c r="H6">
        <v>5</v>
      </c>
      <c r="I6" t="s">
        <v>88</v>
      </c>
      <c r="J6">
        <f>VLOOKUP(I6,'ST 2014'!$A$2:$F$129,2)</f>
        <v>90</v>
      </c>
      <c r="K6">
        <f>VLOOKUP(I6,'ST 2014'!$A$2:$F$129,3)</f>
        <v>19.82</v>
      </c>
      <c r="L6">
        <f>VLOOKUP(I6,'ST 2014'!$A$2:$F$129,4)</f>
        <v>10.53</v>
      </c>
      <c r="M6">
        <f>VLOOKUP(I6,'ST 2014'!$A$2:$F$129,5)</f>
        <v>18.8</v>
      </c>
      <c r="N6">
        <f>VLOOKUP(I6,'ST 2014'!$A$2:$F$129,6)</f>
        <v>8.6300000000000008</v>
      </c>
      <c r="O6">
        <v>2014</v>
      </c>
    </row>
    <row r="7" spans="1:15" x14ac:dyDescent="0.2">
      <c r="A7" s="9" t="s">
        <v>38</v>
      </c>
      <c r="B7" s="10">
        <v>82.1</v>
      </c>
      <c r="C7" s="9">
        <v>24.13</v>
      </c>
      <c r="D7" s="9">
        <v>3.67</v>
      </c>
      <c r="E7" s="9">
        <v>23.27</v>
      </c>
      <c r="F7" s="29">
        <v>9.58</v>
      </c>
      <c r="H7">
        <v>6</v>
      </c>
      <c r="I7" t="s">
        <v>104</v>
      </c>
      <c r="J7">
        <f>VLOOKUP(I7,'ST 2014'!$A$2:$F$129,2)</f>
        <v>63.6</v>
      </c>
      <c r="K7">
        <f>VLOOKUP(I7,'ST 2014'!$A$2:$F$129,3)</f>
        <v>24.03</v>
      </c>
      <c r="L7">
        <f>VLOOKUP(I7,'ST 2014'!$A$2:$F$129,4)</f>
        <v>5.77</v>
      </c>
      <c r="M7">
        <f>VLOOKUP(I7,'ST 2014'!$A$2:$F$129,5)</f>
        <v>22.43</v>
      </c>
      <c r="N7">
        <f>VLOOKUP(I7,'ST 2014'!$A$2:$F$129,6)</f>
        <v>9.67</v>
      </c>
      <c r="O7">
        <v>2014</v>
      </c>
    </row>
    <row r="8" spans="1:15" x14ac:dyDescent="0.2">
      <c r="A8" s="6" t="s">
        <v>63</v>
      </c>
      <c r="B8" s="7">
        <v>64.3</v>
      </c>
      <c r="C8" s="6">
        <v>25.71</v>
      </c>
      <c r="D8" s="6">
        <v>9.36</v>
      </c>
      <c r="E8" s="6">
        <v>23.84</v>
      </c>
      <c r="F8" s="28">
        <v>6</v>
      </c>
      <c r="H8">
        <v>7</v>
      </c>
      <c r="I8" t="s">
        <v>94</v>
      </c>
      <c r="J8">
        <f>VLOOKUP(I8,'ST 2014'!$A$2:$F$129,2)</f>
        <v>69.2</v>
      </c>
      <c r="K8">
        <f>VLOOKUP(I8,'ST 2014'!$A$2:$F$129,3)</f>
        <v>20.03</v>
      </c>
      <c r="L8">
        <f>VLOOKUP(I8,'ST 2014'!$A$2:$F$129,4)</f>
        <v>4.6500000000000004</v>
      </c>
      <c r="M8">
        <f>VLOOKUP(I8,'ST 2014'!$A$2:$F$129,5)</f>
        <v>18.57</v>
      </c>
      <c r="N8">
        <f>VLOOKUP(I8,'ST 2014'!$A$2:$F$129,6)</f>
        <v>7.71</v>
      </c>
      <c r="O8">
        <v>2014</v>
      </c>
    </row>
    <row r="9" spans="1:15" x14ac:dyDescent="0.2">
      <c r="A9" s="9" t="s">
        <v>8</v>
      </c>
      <c r="B9" s="10">
        <v>61.1</v>
      </c>
      <c r="C9" s="9">
        <v>22.49</v>
      </c>
      <c r="D9" s="9">
        <v>7.14</v>
      </c>
      <c r="E9" s="9">
        <v>16.309999999999999</v>
      </c>
      <c r="F9" s="29">
        <v>6.81</v>
      </c>
      <c r="H9">
        <v>8</v>
      </c>
      <c r="I9" t="s">
        <v>71</v>
      </c>
      <c r="J9">
        <f>VLOOKUP(I9,'ST 2014'!$A$2:$F$129,2)</f>
        <v>61.1</v>
      </c>
      <c r="K9">
        <f>VLOOKUP(I9,'ST 2014'!$A$2:$F$129,3)</f>
        <v>21.76</v>
      </c>
      <c r="L9">
        <f>VLOOKUP(I9,'ST 2014'!$A$2:$F$129,4)</f>
        <v>8.08</v>
      </c>
      <c r="M9">
        <f>VLOOKUP(I9,'ST 2014'!$A$2:$F$129,5)</f>
        <v>22.64</v>
      </c>
      <c r="N9">
        <f>VLOOKUP(I9,'ST 2014'!$A$2:$F$129,6)</f>
        <v>9.8000000000000007</v>
      </c>
      <c r="O9">
        <v>2014</v>
      </c>
    </row>
    <row r="10" spans="1:15" x14ac:dyDescent="0.2">
      <c r="A10" s="6" t="s">
        <v>42</v>
      </c>
      <c r="B10" s="7">
        <v>53.8</v>
      </c>
      <c r="C10" s="6">
        <v>17.34</v>
      </c>
      <c r="D10" s="6">
        <v>4.0599999999999996</v>
      </c>
      <c r="E10" s="6">
        <v>22.3</v>
      </c>
      <c r="F10" s="28">
        <v>11.47</v>
      </c>
      <c r="H10">
        <v>9</v>
      </c>
      <c r="I10" t="s">
        <v>22</v>
      </c>
      <c r="J10">
        <f>VLOOKUP(I10,'ST 2014'!$A$2:$F$129,2)</f>
        <v>76.2</v>
      </c>
      <c r="K10">
        <f>VLOOKUP(I10,'ST 2014'!$A$2:$F$129,3)</f>
        <v>22.38</v>
      </c>
      <c r="L10">
        <f>VLOOKUP(I10,'ST 2014'!$A$2:$F$129,4)</f>
        <v>10.48</v>
      </c>
      <c r="M10">
        <f>VLOOKUP(I10,'ST 2014'!$A$2:$F$129,5)</f>
        <v>19.25</v>
      </c>
      <c r="N10">
        <f>VLOOKUP(I10,'ST 2014'!$A$2:$F$129,6)</f>
        <v>7.12</v>
      </c>
      <c r="O10">
        <v>2014</v>
      </c>
    </row>
    <row r="11" spans="1:15" x14ac:dyDescent="0.2">
      <c r="A11" s="9" t="s">
        <v>19</v>
      </c>
      <c r="B11" s="10">
        <v>75</v>
      </c>
      <c r="C11" s="9">
        <v>20.03</v>
      </c>
      <c r="D11" s="9">
        <v>17.82</v>
      </c>
      <c r="E11" s="9">
        <v>21.79</v>
      </c>
      <c r="F11" s="29">
        <v>7.04</v>
      </c>
      <c r="H11">
        <v>10</v>
      </c>
      <c r="I11" t="s">
        <v>31</v>
      </c>
      <c r="J11">
        <f>VLOOKUP(I11,'ST 2014'!$A$2:$F$129,2)</f>
        <v>81.8</v>
      </c>
      <c r="K11">
        <f>VLOOKUP(I11,'ST 2014'!$A$2:$F$129,3)</f>
        <v>19.079999999999998</v>
      </c>
      <c r="L11">
        <f>VLOOKUP(I11,'ST 2014'!$A$2:$F$129,4)</f>
        <v>9.0500000000000007</v>
      </c>
      <c r="M11">
        <f>VLOOKUP(I11,'ST 2014'!$A$2:$F$129,5)</f>
        <v>21.53</v>
      </c>
      <c r="N11">
        <f>VLOOKUP(I11,'ST 2014'!$A$2:$F$129,6)</f>
        <v>12.95</v>
      </c>
      <c r="O11">
        <v>2014</v>
      </c>
    </row>
    <row r="12" spans="1:15" x14ac:dyDescent="0.2">
      <c r="A12" s="6" t="s">
        <v>120</v>
      </c>
      <c r="B12" s="7">
        <v>83.3</v>
      </c>
      <c r="C12" s="6">
        <v>23.23</v>
      </c>
      <c r="D12" s="6">
        <v>6.67</v>
      </c>
      <c r="E12" s="6">
        <v>23.07</v>
      </c>
      <c r="F12" s="28">
        <v>6.15</v>
      </c>
      <c r="H12">
        <v>11</v>
      </c>
      <c r="I12" t="s">
        <v>35</v>
      </c>
      <c r="J12">
        <f>VLOOKUP(I12,'ST 2014'!$A$2:$F$129,2)</f>
        <v>75</v>
      </c>
      <c r="K12">
        <f>VLOOKUP(I12,'ST 2014'!$A$2:$F$129,3)</f>
        <v>19.93</v>
      </c>
      <c r="L12">
        <f>VLOOKUP(I12,'ST 2014'!$A$2:$F$129,4)</f>
        <v>5.96</v>
      </c>
      <c r="M12">
        <f>VLOOKUP(I12,'ST 2014'!$A$2:$F$129,5)</f>
        <v>17.899999999999999</v>
      </c>
      <c r="N12">
        <f>VLOOKUP(I12,'ST 2014'!$A$2:$F$129,6)</f>
        <v>11.65</v>
      </c>
      <c r="O12">
        <v>2014</v>
      </c>
    </row>
    <row r="13" spans="1:15" x14ac:dyDescent="0.2">
      <c r="A13" s="9" t="s">
        <v>94</v>
      </c>
      <c r="B13" s="10">
        <v>69.2</v>
      </c>
      <c r="C13" s="9">
        <v>20.03</v>
      </c>
      <c r="D13" s="9">
        <v>4.6500000000000004</v>
      </c>
      <c r="E13" s="9">
        <v>18.57</v>
      </c>
      <c r="F13" s="29">
        <v>7.71</v>
      </c>
      <c r="H13">
        <v>12</v>
      </c>
      <c r="I13" t="s">
        <v>38</v>
      </c>
      <c r="J13">
        <f>VLOOKUP(I13,'ST 2014'!$A$2:$F$129,2)</f>
        <v>82.1</v>
      </c>
      <c r="K13">
        <f>VLOOKUP(I13,'ST 2014'!$A$2:$F$129,3)</f>
        <v>24.13</v>
      </c>
      <c r="L13">
        <f>VLOOKUP(I13,'ST 2014'!$A$2:$F$129,4)</f>
        <v>3.67</v>
      </c>
      <c r="M13">
        <f>VLOOKUP(I13,'ST 2014'!$A$2:$F$129,5)</f>
        <v>23.27</v>
      </c>
      <c r="N13">
        <f>VLOOKUP(I13,'ST 2014'!$A$2:$F$129,6)</f>
        <v>9.58</v>
      </c>
      <c r="O13">
        <v>2014</v>
      </c>
    </row>
    <row r="14" spans="1:15" x14ac:dyDescent="0.2">
      <c r="A14" s="6" t="s">
        <v>33</v>
      </c>
      <c r="B14" s="7">
        <v>76.2</v>
      </c>
      <c r="C14" s="6">
        <v>18.77</v>
      </c>
      <c r="D14" s="6">
        <v>9.86</v>
      </c>
      <c r="E14" s="6">
        <v>20.58</v>
      </c>
      <c r="F14" s="28">
        <v>5.28</v>
      </c>
      <c r="H14">
        <v>13</v>
      </c>
      <c r="I14" t="s">
        <v>25</v>
      </c>
      <c r="J14">
        <f>VLOOKUP(I14,'ST 2014'!$A$2:$F$129,2)</f>
        <v>86.4</v>
      </c>
      <c r="K14">
        <f>VLOOKUP(I14,'ST 2014'!$A$2:$F$129,3)</f>
        <v>21.65</v>
      </c>
      <c r="L14">
        <f>VLOOKUP(I14,'ST 2014'!$A$2:$F$129,4)</f>
        <v>11.08</v>
      </c>
      <c r="M14">
        <f>VLOOKUP(I14,'ST 2014'!$A$2:$F$129,5)</f>
        <v>19.899999999999999</v>
      </c>
      <c r="N14">
        <f>VLOOKUP(I14,'ST 2014'!$A$2:$F$129,6)</f>
        <v>9.66</v>
      </c>
      <c r="O14">
        <v>2014</v>
      </c>
    </row>
    <row r="15" spans="1:15" x14ac:dyDescent="0.2">
      <c r="A15" s="9" t="s">
        <v>79</v>
      </c>
      <c r="B15" s="10">
        <v>63.2</v>
      </c>
      <c r="C15" s="9">
        <v>26</v>
      </c>
      <c r="D15" s="9">
        <v>7.81</v>
      </c>
      <c r="E15" s="9">
        <v>18.34</v>
      </c>
      <c r="F15" s="29">
        <v>7.03</v>
      </c>
      <c r="H15">
        <v>14</v>
      </c>
      <c r="I15" t="s">
        <v>10</v>
      </c>
      <c r="J15">
        <f>VLOOKUP(I15,'ST 2014'!$A$2:$F$129,2)</f>
        <v>72</v>
      </c>
      <c r="K15">
        <f>VLOOKUP(I15,'ST 2014'!$A$2:$F$129,3)</f>
        <v>24.65</v>
      </c>
      <c r="L15">
        <f>VLOOKUP(I15,'ST 2014'!$A$2:$F$129,4)</f>
        <v>10.41</v>
      </c>
      <c r="M15">
        <f>VLOOKUP(I15,'ST 2014'!$A$2:$F$129,5)</f>
        <v>24.85</v>
      </c>
      <c r="N15">
        <f>VLOOKUP(I15,'ST 2014'!$A$2:$F$129,6)</f>
        <v>3.18</v>
      </c>
      <c r="O15">
        <v>2014</v>
      </c>
    </row>
    <row r="16" spans="1:15" x14ac:dyDescent="0.2">
      <c r="A16" s="6" t="s">
        <v>87</v>
      </c>
      <c r="B16" s="7">
        <v>79.3</v>
      </c>
      <c r="C16" s="6">
        <v>20.77</v>
      </c>
      <c r="D16" s="6">
        <v>10.19</v>
      </c>
      <c r="E16" s="6">
        <v>21.74</v>
      </c>
      <c r="F16" s="28">
        <v>5.47</v>
      </c>
      <c r="H16">
        <v>15</v>
      </c>
      <c r="I16" t="s">
        <v>24</v>
      </c>
      <c r="J16">
        <f>VLOOKUP(I16,'ST 2014'!$A$2:$F$129,2)</f>
        <v>75</v>
      </c>
      <c r="K16">
        <f>VLOOKUP(I16,'ST 2014'!$A$2:$F$129,3)</f>
        <v>18.760000000000002</v>
      </c>
      <c r="L16">
        <f>VLOOKUP(I16,'ST 2014'!$A$2:$F$129,4)</f>
        <v>5.69</v>
      </c>
      <c r="M16">
        <f>VLOOKUP(I16,'ST 2014'!$A$2:$F$129,5)</f>
        <v>19.899999999999999</v>
      </c>
      <c r="N16">
        <f>VLOOKUP(I16,'ST 2014'!$A$2:$F$129,6)</f>
        <v>8</v>
      </c>
      <c r="O16">
        <v>2014</v>
      </c>
    </row>
    <row r="17" spans="1:15" x14ac:dyDescent="0.2">
      <c r="A17" s="9" t="s">
        <v>66</v>
      </c>
      <c r="B17" s="10">
        <v>42.9</v>
      </c>
      <c r="C17" s="9">
        <v>19.11</v>
      </c>
      <c r="D17" s="9">
        <v>7.42</v>
      </c>
      <c r="E17" s="9">
        <v>19.79</v>
      </c>
      <c r="F17" s="29">
        <v>8.16</v>
      </c>
      <c r="H17">
        <v>16</v>
      </c>
      <c r="I17" t="s">
        <v>33</v>
      </c>
      <c r="J17">
        <f>VLOOKUP(I17,'ST 2014'!$A$2:$F$129,2)</f>
        <v>76.2</v>
      </c>
      <c r="K17">
        <f>VLOOKUP(I17,'ST 2014'!$A$2:$F$129,3)</f>
        <v>18.77</v>
      </c>
      <c r="L17">
        <f>VLOOKUP(I17,'ST 2014'!$A$2:$F$129,4)</f>
        <v>9.86</v>
      </c>
      <c r="M17">
        <f>VLOOKUP(I17,'ST 2014'!$A$2:$F$129,5)</f>
        <v>20.58</v>
      </c>
      <c r="N17">
        <f>VLOOKUP(I17,'ST 2014'!$A$2:$F$129,6)</f>
        <v>5.28</v>
      </c>
      <c r="O17">
        <v>2014</v>
      </c>
    </row>
    <row r="18" spans="1:15" x14ac:dyDescent="0.2">
      <c r="A18" s="6" t="s">
        <v>122</v>
      </c>
      <c r="B18" s="7">
        <v>85.7</v>
      </c>
      <c r="C18" s="6">
        <v>19.670000000000002</v>
      </c>
      <c r="D18" s="6">
        <v>7.47</v>
      </c>
      <c r="E18" s="6">
        <v>18.43</v>
      </c>
      <c r="F18" s="28">
        <v>7.67</v>
      </c>
      <c r="H18">
        <v>17</v>
      </c>
      <c r="I18" t="s">
        <v>34</v>
      </c>
      <c r="J18">
        <f>VLOOKUP(I18,'ST 2014'!$A$2:$F$129,2)</f>
        <v>56.3</v>
      </c>
      <c r="K18">
        <f>VLOOKUP(I18,'ST 2014'!$A$2:$F$129,3)</f>
        <v>19.66</v>
      </c>
      <c r="L18">
        <f>VLOOKUP(I18,'ST 2014'!$A$2:$F$129,4)</f>
        <v>6.36</v>
      </c>
      <c r="M18">
        <f>VLOOKUP(I18,'ST 2014'!$A$2:$F$129,5)</f>
        <v>21.26</v>
      </c>
      <c r="N18">
        <f>VLOOKUP(I18,'ST 2014'!$A$2:$F$129,6)</f>
        <v>5.93</v>
      </c>
      <c r="O18">
        <v>2014</v>
      </c>
    </row>
    <row r="19" spans="1:15" x14ac:dyDescent="0.2">
      <c r="A19" s="9" t="s">
        <v>72</v>
      </c>
      <c r="B19" s="10">
        <v>64.7</v>
      </c>
      <c r="C19" s="9">
        <v>22.5</v>
      </c>
      <c r="D19" s="9">
        <v>7.61</v>
      </c>
      <c r="E19" s="9">
        <v>20.29</v>
      </c>
      <c r="F19" s="29">
        <v>12.35</v>
      </c>
      <c r="H19">
        <v>18</v>
      </c>
      <c r="I19" t="s">
        <v>36</v>
      </c>
      <c r="J19">
        <f>VLOOKUP(I19,'ST 2014'!$A$2:$F$129,2)</f>
        <v>79.3</v>
      </c>
      <c r="K19">
        <f>VLOOKUP(I19,'ST 2014'!$A$2:$F$129,3)</f>
        <v>21.97</v>
      </c>
      <c r="L19">
        <f>VLOOKUP(I19,'ST 2014'!$A$2:$F$129,4)</f>
        <v>18</v>
      </c>
      <c r="M19">
        <f>VLOOKUP(I19,'ST 2014'!$A$2:$F$129,5)</f>
        <v>17.97</v>
      </c>
      <c r="N19">
        <f>VLOOKUP(I19,'ST 2014'!$A$2:$F$129,6)</f>
        <v>8.91</v>
      </c>
      <c r="O19">
        <v>2014</v>
      </c>
    </row>
    <row r="20" spans="1:15" x14ac:dyDescent="0.2">
      <c r="A20" s="6" t="s">
        <v>54</v>
      </c>
      <c r="B20" s="7">
        <v>72.7</v>
      </c>
      <c r="C20" s="6">
        <v>19.600000000000001</v>
      </c>
      <c r="D20" s="6">
        <v>4.17</v>
      </c>
      <c r="E20" s="6">
        <v>21.7</v>
      </c>
      <c r="F20" s="28">
        <v>11</v>
      </c>
      <c r="H20">
        <v>19</v>
      </c>
      <c r="I20" t="s">
        <v>5</v>
      </c>
      <c r="J20">
        <f>VLOOKUP(I20,'ST 2014'!$A$2:$F$129,2)</f>
        <v>71.400000000000006</v>
      </c>
      <c r="K20">
        <f>VLOOKUP(I20,'ST 2014'!$A$2:$F$129,3)</f>
        <v>21.5</v>
      </c>
      <c r="L20">
        <f>VLOOKUP(I20,'ST 2014'!$A$2:$F$129,4)</f>
        <v>10.24</v>
      </c>
      <c r="M20">
        <f>VLOOKUP(I20,'ST 2014'!$A$2:$F$129,5)</f>
        <v>18.489999999999998</v>
      </c>
      <c r="N20">
        <f>VLOOKUP(I20,'ST 2014'!$A$2:$F$129,6)</f>
        <v>10.59</v>
      </c>
      <c r="O20">
        <v>2014</v>
      </c>
    </row>
    <row r="21" spans="1:15" x14ac:dyDescent="0.2">
      <c r="A21" s="9" t="s">
        <v>110</v>
      </c>
      <c r="B21" s="10">
        <v>80</v>
      </c>
      <c r="C21" s="9">
        <v>19.61</v>
      </c>
      <c r="D21" s="9">
        <v>5.64</v>
      </c>
      <c r="E21" s="9">
        <v>22.74</v>
      </c>
      <c r="F21" s="29">
        <v>7.06</v>
      </c>
      <c r="H21">
        <v>20</v>
      </c>
      <c r="I21" t="s">
        <v>26</v>
      </c>
      <c r="J21">
        <f>VLOOKUP(I21,'ST 2014'!$A$2:$F$129,2)</f>
        <v>81.8</v>
      </c>
      <c r="K21">
        <f>VLOOKUP(I21,'ST 2014'!$A$2:$F$129,3)</f>
        <v>22.14</v>
      </c>
      <c r="L21">
        <f>VLOOKUP(I21,'ST 2014'!$A$2:$F$129,4)</f>
        <v>9.73</v>
      </c>
      <c r="M21">
        <f>VLOOKUP(I21,'ST 2014'!$A$2:$F$129,5)</f>
        <v>22.47</v>
      </c>
      <c r="N21">
        <f>VLOOKUP(I21,'ST 2014'!$A$2:$F$129,6)</f>
        <v>10.17</v>
      </c>
      <c r="O21">
        <v>2014</v>
      </c>
    </row>
    <row r="22" spans="1:15" x14ac:dyDescent="0.2">
      <c r="A22" s="6" t="s">
        <v>24</v>
      </c>
      <c r="B22" s="7">
        <v>75</v>
      </c>
      <c r="C22" s="6">
        <v>18.760000000000002</v>
      </c>
      <c r="D22" s="6">
        <v>5.69</v>
      </c>
      <c r="E22" s="6">
        <v>19.899999999999999</v>
      </c>
      <c r="F22" s="28">
        <v>8</v>
      </c>
      <c r="H22">
        <v>21</v>
      </c>
      <c r="I22" t="s">
        <v>57</v>
      </c>
      <c r="J22">
        <f>VLOOKUP(I22,'ST 2014'!$A$2:$F$129,2)</f>
        <v>82.1</v>
      </c>
      <c r="K22">
        <f>VLOOKUP(I22,'ST 2014'!$A$2:$F$129,3)</f>
        <v>23.74</v>
      </c>
      <c r="L22">
        <f>VLOOKUP(I22,'ST 2014'!$A$2:$F$129,4)</f>
        <v>13.79</v>
      </c>
      <c r="M22">
        <f>VLOOKUP(I22,'ST 2014'!$A$2:$F$129,5)</f>
        <v>20.77</v>
      </c>
      <c r="N22">
        <f>VLOOKUP(I22,'ST 2014'!$A$2:$F$129,6)</f>
        <v>10.1</v>
      </c>
      <c r="O22">
        <v>2014</v>
      </c>
    </row>
    <row r="23" spans="1:15" x14ac:dyDescent="0.2">
      <c r="A23" s="9" t="s">
        <v>77</v>
      </c>
      <c r="B23" s="10">
        <v>76.2</v>
      </c>
      <c r="C23" s="9">
        <v>23.71</v>
      </c>
      <c r="D23" s="9">
        <v>6.5</v>
      </c>
      <c r="E23" s="9">
        <v>21.43</v>
      </c>
      <c r="F23" s="29">
        <v>10.52</v>
      </c>
      <c r="H23">
        <v>22</v>
      </c>
      <c r="I23" t="s">
        <v>19</v>
      </c>
      <c r="J23">
        <f>VLOOKUP(I23,'ST 2014'!$A$2:$F$129,2)</f>
        <v>75</v>
      </c>
      <c r="K23">
        <f>VLOOKUP(I23,'ST 2014'!$A$2:$F$129,3)</f>
        <v>20.03</v>
      </c>
      <c r="L23">
        <f>VLOOKUP(I23,'ST 2014'!$A$2:$F$129,4)</f>
        <v>17.82</v>
      </c>
      <c r="M23">
        <f>VLOOKUP(I23,'ST 2014'!$A$2:$F$129,5)</f>
        <v>21.79</v>
      </c>
      <c r="N23">
        <f>VLOOKUP(I23,'ST 2014'!$A$2:$F$129,6)</f>
        <v>7.04</v>
      </c>
      <c r="O23">
        <v>2014</v>
      </c>
    </row>
    <row r="24" spans="1:15" x14ac:dyDescent="0.2">
      <c r="A24" s="6" t="s">
        <v>30</v>
      </c>
      <c r="B24" s="7">
        <v>60</v>
      </c>
      <c r="C24" s="6">
        <v>21.62</v>
      </c>
      <c r="D24" s="6">
        <v>3.91</v>
      </c>
      <c r="E24" s="6">
        <v>20.79</v>
      </c>
      <c r="F24" s="28">
        <v>12.5</v>
      </c>
      <c r="H24">
        <v>23</v>
      </c>
      <c r="I24" t="s">
        <v>78</v>
      </c>
      <c r="J24">
        <f>VLOOKUP(I24,'ST 2014'!$A$2:$F$129,2)</f>
        <v>81</v>
      </c>
      <c r="K24">
        <f>VLOOKUP(I24,'ST 2014'!$A$2:$F$129,3)</f>
        <v>24.61</v>
      </c>
      <c r="L24">
        <f>VLOOKUP(I24,'ST 2014'!$A$2:$F$129,4)</f>
        <v>8.25</v>
      </c>
      <c r="M24">
        <f>VLOOKUP(I24,'ST 2014'!$A$2:$F$129,5)</f>
        <v>21.11</v>
      </c>
      <c r="N24">
        <f>VLOOKUP(I24,'ST 2014'!$A$2:$F$129,6)</f>
        <v>5.25</v>
      </c>
      <c r="O24">
        <v>2014</v>
      </c>
    </row>
    <row r="25" spans="1:15" x14ac:dyDescent="0.2">
      <c r="A25" s="9" t="s">
        <v>101</v>
      </c>
      <c r="B25" s="10">
        <v>64.3</v>
      </c>
      <c r="C25" s="9">
        <v>19.77</v>
      </c>
      <c r="D25" s="9">
        <v>6.75</v>
      </c>
      <c r="E25" s="9">
        <v>15.49</v>
      </c>
      <c r="F25" s="29">
        <v>5.48</v>
      </c>
      <c r="H25">
        <v>24</v>
      </c>
      <c r="I25" t="s">
        <v>12</v>
      </c>
      <c r="J25">
        <f>VLOOKUP(I25,'ST 2014'!$A$2:$F$129,2)</f>
        <v>78.900000000000006</v>
      </c>
      <c r="K25">
        <f>VLOOKUP(I25,'ST 2014'!$A$2:$F$129,3)</f>
        <v>21.06</v>
      </c>
      <c r="L25">
        <f>VLOOKUP(I25,'ST 2014'!$A$2:$F$129,4)</f>
        <v>7.41</v>
      </c>
      <c r="M25">
        <f>VLOOKUP(I25,'ST 2014'!$A$2:$F$129,5)</f>
        <v>22.6</v>
      </c>
      <c r="N25">
        <f>VLOOKUP(I25,'ST 2014'!$A$2:$F$129,6)</f>
        <v>8.1300000000000008</v>
      </c>
      <c r="O25">
        <v>2014</v>
      </c>
    </row>
    <row r="26" spans="1:15" x14ac:dyDescent="0.2">
      <c r="A26" s="6" t="s">
        <v>85</v>
      </c>
      <c r="B26" s="7">
        <v>90.5</v>
      </c>
      <c r="C26" s="6">
        <v>25.25</v>
      </c>
      <c r="D26" s="6">
        <v>13.54</v>
      </c>
      <c r="E26" s="6">
        <v>23.25</v>
      </c>
      <c r="F26" s="28">
        <v>5.74</v>
      </c>
      <c r="H26">
        <v>25</v>
      </c>
      <c r="I26" t="s">
        <v>1</v>
      </c>
      <c r="J26">
        <f>VLOOKUP(I26,'ST 2014'!$A$2:$F$129,2)</f>
        <v>65.599999999999994</v>
      </c>
      <c r="K26">
        <f>VLOOKUP(I26,'ST 2014'!$A$2:$F$129,3)</f>
        <v>22.79</v>
      </c>
      <c r="L26">
        <f>VLOOKUP(I26,'ST 2014'!$A$2:$F$129,4)</f>
        <v>8.83</v>
      </c>
      <c r="M26">
        <f>VLOOKUP(I26,'ST 2014'!$A$2:$F$129,5)</f>
        <v>18.12</v>
      </c>
      <c r="N26">
        <f>VLOOKUP(I26,'ST 2014'!$A$2:$F$129,6)</f>
        <v>5.68</v>
      </c>
      <c r="O26">
        <v>2014</v>
      </c>
    </row>
    <row r="27" spans="1:15" x14ac:dyDescent="0.2">
      <c r="A27" s="9" t="s">
        <v>89</v>
      </c>
      <c r="B27" s="10">
        <v>58.3</v>
      </c>
      <c r="C27" s="9">
        <v>19.07</v>
      </c>
      <c r="D27" s="9">
        <v>4.62</v>
      </c>
      <c r="E27" s="9">
        <v>22.46</v>
      </c>
      <c r="F27" s="29">
        <v>7.04</v>
      </c>
    </row>
    <row r="28" spans="1:15" x14ac:dyDescent="0.2">
      <c r="A28" s="6" t="s">
        <v>81</v>
      </c>
      <c r="B28" s="7">
        <v>66.7</v>
      </c>
      <c r="C28" s="6">
        <v>17.489999999999998</v>
      </c>
      <c r="D28" s="6">
        <v>7</v>
      </c>
      <c r="E28" s="6">
        <v>25.31</v>
      </c>
      <c r="F28" s="28">
        <v>13.86</v>
      </c>
    </row>
    <row r="29" spans="1:15" x14ac:dyDescent="0.2">
      <c r="A29" s="9" t="s">
        <v>108</v>
      </c>
      <c r="B29" s="10">
        <v>79.2</v>
      </c>
      <c r="C29" s="9">
        <v>20.149999999999999</v>
      </c>
      <c r="D29" s="9">
        <v>12.04</v>
      </c>
      <c r="E29" s="9">
        <v>22.4</v>
      </c>
      <c r="F29" s="29">
        <v>5.57</v>
      </c>
    </row>
    <row r="30" spans="1:15" x14ac:dyDescent="0.2">
      <c r="A30" s="6" t="s">
        <v>9</v>
      </c>
      <c r="B30" s="7">
        <v>70</v>
      </c>
      <c r="C30" s="6">
        <v>21.87</v>
      </c>
      <c r="D30" s="6">
        <v>14.43</v>
      </c>
      <c r="E30" s="6">
        <v>22.64</v>
      </c>
      <c r="F30" s="28">
        <v>7.14</v>
      </c>
    </row>
    <row r="31" spans="1:15" x14ac:dyDescent="0.2">
      <c r="A31" s="9" t="s">
        <v>95</v>
      </c>
      <c r="B31" s="10">
        <v>71.400000000000006</v>
      </c>
      <c r="C31" s="9">
        <v>23</v>
      </c>
      <c r="D31" s="9">
        <v>18.190000000000001</v>
      </c>
      <c r="E31" s="9">
        <v>20.079999999999998</v>
      </c>
      <c r="F31" s="29">
        <v>11.87</v>
      </c>
    </row>
    <row r="32" spans="1:15" x14ac:dyDescent="0.2">
      <c r="A32" s="6" t="s">
        <v>88</v>
      </c>
      <c r="B32" s="7">
        <v>90</v>
      </c>
      <c r="C32" s="6">
        <v>19.82</v>
      </c>
      <c r="D32" s="6">
        <v>10.53</v>
      </c>
      <c r="E32" s="6">
        <v>18.8</v>
      </c>
      <c r="F32" s="28">
        <v>8.6300000000000008</v>
      </c>
    </row>
    <row r="33" spans="1:6" x14ac:dyDescent="0.2">
      <c r="A33" s="9" t="s">
        <v>73</v>
      </c>
      <c r="B33" s="10">
        <v>64.3</v>
      </c>
      <c r="C33" s="9">
        <v>18.93</v>
      </c>
      <c r="D33" s="9">
        <v>9.82</v>
      </c>
      <c r="E33" s="9">
        <v>17.690000000000001</v>
      </c>
      <c r="F33" s="29">
        <v>14</v>
      </c>
    </row>
    <row r="34" spans="1:6" x14ac:dyDescent="0.2">
      <c r="A34" s="6" t="s">
        <v>22</v>
      </c>
      <c r="B34" s="7">
        <v>76.2</v>
      </c>
      <c r="C34" s="6">
        <v>22.38</v>
      </c>
      <c r="D34" s="6">
        <v>10.48</v>
      </c>
      <c r="E34" s="6">
        <v>19.25</v>
      </c>
      <c r="F34" s="28">
        <v>7.12</v>
      </c>
    </row>
    <row r="35" spans="1:6" x14ac:dyDescent="0.2">
      <c r="A35" s="9" t="s">
        <v>109</v>
      </c>
      <c r="B35" s="10">
        <v>71.400000000000006</v>
      </c>
      <c r="C35" s="9">
        <v>23.82</v>
      </c>
      <c r="D35" s="9">
        <v>5.12</v>
      </c>
      <c r="E35" s="9">
        <v>21.28</v>
      </c>
      <c r="F35" s="29">
        <v>0</v>
      </c>
    </row>
    <row r="36" spans="1:6" x14ac:dyDescent="0.2">
      <c r="A36" s="6" t="s">
        <v>114</v>
      </c>
      <c r="B36" s="7">
        <v>87.5</v>
      </c>
      <c r="C36" s="6">
        <v>18</v>
      </c>
      <c r="D36" s="6">
        <v>11</v>
      </c>
      <c r="E36" s="6">
        <v>20.21</v>
      </c>
      <c r="F36" s="28">
        <v>0</v>
      </c>
    </row>
    <row r="37" spans="1:6" x14ac:dyDescent="0.2">
      <c r="A37" s="9" t="s">
        <v>71</v>
      </c>
      <c r="B37" s="10">
        <v>61.1</v>
      </c>
      <c r="C37" s="9">
        <v>21.76</v>
      </c>
      <c r="D37" s="9">
        <v>8.08</v>
      </c>
      <c r="E37" s="9">
        <v>22.64</v>
      </c>
      <c r="F37" s="29">
        <v>9.8000000000000007</v>
      </c>
    </row>
    <row r="38" spans="1:6" x14ac:dyDescent="0.2">
      <c r="A38" s="6" t="s">
        <v>105</v>
      </c>
      <c r="B38" s="7">
        <v>78.3</v>
      </c>
      <c r="C38" s="6">
        <v>19.239999999999998</v>
      </c>
      <c r="D38" s="6">
        <v>8.81</v>
      </c>
      <c r="E38" s="6">
        <v>27.5</v>
      </c>
      <c r="F38" s="28">
        <v>9.93</v>
      </c>
    </row>
    <row r="39" spans="1:6" x14ac:dyDescent="0.2">
      <c r="A39" s="9" t="s">
        <v>67</v>
      </c>
      <c r="B39" s="10">
        <v>69.599999999999994</v>
      </c>
      <c r="C39" s="9">
        <v>16.55</v>
      </c>
      <c r="D39" s="9">
        <v>5.67</v>
      </c>
      <c r="E39" s="9">
        <v>21.48</v>
      </c>
      <c r="F39" s="29">
        <v>13.06</v>
      </c>
    </row>
    <row r="40" spans="1:6" x14ac:dyDescent="0.2">
      <c r="A40" s="6" t="s">
        <v>115</v>
      </c>
      <c r="B40" s="7">
        <v>57.9</v>
      </c>
      <c r="C40" s="6">
        <v>21.62</v>
      </c>
      <c r="D40" s="6">
        <v>6.15</v>
      </c>
      <c r="E40" s="6">
        <v>21.39</v>
      </c>
      <c r="F40" s="28">
        <v>14.12</v>
      </c>
    </row>
    <row r="41" spans="1:6" x14ac:dyDescent="0.2">
      <c r="A41" s="9" t="s">
        <v>125</v>
      </c>
      <c r="B41" s="10">
        <v>52.9</v>
      </c>
      <c r="C41" s="9">
        <v>19.45</v>
      </c>
      <c r="D41" s="9">
        <v>9.1</v>
      </c>
      <c r="E41" s="9">
        <v>23.3</v>
      </c>
      <c r="F41" s="29">
        <v>10.52</v>
      </c>
    </row>
    <row r="42" spans="1:6" x14ac:dyDescent="0.2">
      <c r="A42" s="6" t="s">
        <v>76</v>
      </c>
      <c r="B42" s="7">
        <v>63.6</v>
      </c>
      <c r="C42" s="6">
        <v>18.809999999999999</v>
      </c>
      <c r="D42" s="6">
        <v>5.18</v>
      </c>
      <c r="E42" s="6">
        <v>22.92</v>
      </c>
      <c r="F42" s="28">
        <v>6.3</v>
      </c>
    </row>
    <row r="43" spans="1:6" x14ac:dyDescent="0.2">
      <c r="A43" s="9" t="s">
        <v>68</v>
      </c>
      <c r="B43" s="10">
        <v>70.599999999999994</v>
      </c>
      <c r="C43" s="9">
        <v>20.69</v>
      </c>
      <c r="D43" s="9">
        <v>5.13</v>
      </c>
      <c r="E43" s="9">
        <v>14.8</v>
      </c>
      <c r="F43" s="29">
        <v>5</v>
      </c>
    </row>
    <row r="44" spans="1:6" x14ac:dyDescent="0.2">
      <c r="A44" s="6" t="s">
        <v>52</v>
      </c>
      <c r="B44" s="7">
        <v>78.599999999999994</v>
      </c>
      <c r="C44" s="6">
        <v>20.63</v>
      </c>
      <c r="D44" s="6">
        <v>11.14</v>
      </c>
      <c r="E44" s="6">
        <v>17.95</v>
      </c>
      <c r="F44" s="28">
        <v>12</v>
      </c>
    </row>
    <row r="45" spans="1:6" x14ac:dyDescent="0.2">
      <c r="A45" s="9" t="s">
        <v>118</v>
      </c>
      <c r="B45" s="10">
        <v>60</v>
      </c>
      <c r="C45" s="9">
        <v>19.91</v>
      </c>
      <c r="D45" s="9">
        <v>12.43</v>
      </c>
      <c r="E45" s="9">
        <v>26.9</v>
      </c>
      <c r="F45" s="29">
        <v>10.69</v>
      </c>
    </row>
    <row r="46" spans="1:6" x14ac:dyDescent="0.2">
      <c r="A46" s="6" t="s">
        <v>36</v>
      </c>
      <c r="B46" s="7">
        <v>79.3</v>
      </c>
      <c r="C46" s="6">
        <v>21.97</v>
      </c>
      <c r="D46" s="6">
        <v>18</v>
      </c>
      <c r="E46" s="6">
        <v>17.97</v>
      </c>
      <c r="F46" s="28">
        <v>8.91</v>
      </c>
    </row>
    <row r="47" spans="1:6" x14ac:dyDescent="0.2">
      <c r="A47" s="9" t="s">
        <v>127</v>
      </c>
      <c r="B47" s="10">
        <v>55.6</v>
      </c>
      <c r="C47" s="9">
        <v>21.1</v>
      </c>
      <c r="D47" s="9">
        <v>6.2</v>
      </c>
      <c r="E47" s="9">
        <v>22</v>
      </c>
      <c r="F47" s="29">
        <v>8.33</v>
      </c>
    </row>
    <row r="48" spans="1:6" x14ac:dyDescent="0.2">
      <c r="A48" s="6" t="s">
        <v>86</v>
      </c>
      <c r="B48" s="7">
        <v>77.8</v>
      </c>
      <c r="C48" s="6">
        <v>22.84</v>
      </c>
      <c r="D48" s="6">
        <v>6.85</v>
      </c>
      <c r="E48" s="6">
        <v>22.51</v>
      </c>
      <c r="F48" s="28">
        <v>9.73</v>
      </c>
    </row>
    <row r="49" spans="1:6" x14ac:dyDescent="0.2">
      <c r="A49" s="9" t="s">
        <v>65</v>
      </c>
      <c r="B49" s="10">
        <v>63</v>
      </c>
      <c r="C49" s="9">
        <v>24.25</v>
      </c>
      <c r="D49" s="9">
        <v>8.2899999999999991</v>
      </c>
      <c r="E49" s="9">
        <v>21.87</v>
      </c>
      <c r="F49" s="29">
        <v>6</v>
      </c>
    </row>
    <row r="50" spans="1:6" x14ac:dyDescent="0.2">
      <c r="A50" s="6" t="s">
        <v>58</v>
      </c>
      <c r="B50" s="7">
        <v>81.8</v>
      </c>
      <c r="C50" s="6">
        <v>19.03</v>
      </c>
      <c r="D50" s="6">
        <v>6.94</v>
      </c>
      <c r="E50" s="6">
        <v>17.239999999999998</v>
      </c>
      <c r="F50" s="28">
        <v>4.3499999999999996</v>
      </c>
    </row>
    <row r="51" spans="1:6" x14ac:dyDescent="0.2">
      <c r="A51" s="9" t="s">
        <v>21</v>
      </c>
      <c r="B51" s="10">
        <v>83.3</v>
      </c>
      <c r="C51" s="9">
        <v>20.64</v>
      </c>
      <c r="D51" s="9">
        <v>10.07</v>
      </c>
      <c r="E51" s="9">
        <v>21.64</v>
      </c>
      <c r="F51" s="29">
        <v>11</v>
      </c>
    </row>
    <row r="52" spans="1:6" x14ac:dyDescent="0.2">
      <c r="A52" s="6" t="s">
        <v>12</v>
      </c>
      <c r="B52" s="7">
        <v>78.900000000000006</v>
      </c>
      <c r="C52" s="6">
        <v>21.06</v>
      </c>
      <c r="D52" s="6">
        <v>7.41</v>
      </c>
      <c r="E52" s="6">
        <v>22.6</v>
      </c>
      <c r="F52" s="28">
        <v>8.1300000000000008</v>
      </c>
    </row>
    <row r="53" spans="1:6" x14ac:dyDescent="0.2">
      <c r="A53" s="9" t="s">
        <v>70</v>
      </c>
      <c r="B53" s="10">
        <v>68.400000000000006</v>
      </c>
      <c r="C53" s="9">
        <v>26.73</v>
      </c>
      <c r="D53" s="9">
        <v>10.77</v>
      </c>
      <c r="E53" s="9">
        <v>19.62</v>
      </c>
      <c r="F53" s="29">
        <v>8.4700000000000006</v>
      </c>
    </row>
    <row r="54" spans="1:6" x14ac:dyDescent="0.2">
      <c r="A54" s="6" t="s">
        <v>78</v>
      </c>
      <c r="B54" s="7">
        <v>81</v>
      </c>
      <c r="C54" s="6">
        <v>24.61</v>
      </c>
      <c r="D54" s="6">
        <v>8.25</v>
      </c>
      <c r="E54" s="6">
        <v>21.11</v>
      </c>
      <c r="F54" s="28">
        <v>5.25</v>
      </c>
    </row>
    <row r="55" spans="1:6" x14ac:dyDescent="0.2">
      <c r="A55" s="9" t="s">
        <v>97</v>
      </c>
      <c r="B55" s="10">
        <v>94.7</v>
      </c>
      <c r="C55" s="9">
        <v>25.55</v>
      </c>
      <c r="D55" s="9">
        <v>12.45</v>
      </c>
      <c r="E55" s="9">
        <v>22.87</v>
      </c>
      <c r="F55" s="29">
        <v>3.95</v>
      </c>
    </row>
    <row r="56" spans="1:6" x14ac:dyDescent="0.2">
      <c r="A56" s="6" t="s">
        <v>60</v>
      </c>
      <c r="B56" s="7">
        <v>54.5</v>
      </c>
      <c r="C56" s="6">
        <v>22.44</v>
      </c>
      <c r="D56" s="6">
        <v>5.5</v>
      </c>
      <c r="E56" s="6">
        <v>19.649999999999999</v>
      </c>
      <c r="F56" s="28">
        <v>0</v>
      </c>
    </row>
    <row r="57" spans="1:6" x14ac:dyDescent="0.2">
      <c r="A57" s="9" t="s">
        <v>1</v>
      </c>
      <c r="B57" s="10">
        <v>65.599999999999994</v>
      </c>
      <c r="C57" s="9">
        <v>22.79</v>
      </c>
      <c r="D57" s="9">
        <v>8.83</v>
      </c>
      <c r="E57" s="9">
        <v>18.12</v>
      </c>
      <c r="F57" s="29">
        <v>5.68</v>
      </c>
    </row>
    <row r="58" spans="1:6" x14ac:dyDescent="0.2">
      <c r="A58" s="6" t="s">
        <v>39</v>
      </c>
      <c r="B58" s="7">
        <v>75</v>
      </c>
      <c r="C58" s="6">
        <v>20.11</v>
      </c>
      <c r="D58" s="6">
        <v>6.5</v>
      </c>
      <c r="E58" s="6">
        <v>24.57</v>
      </c>
      <c r="F58" s="28">
        <v>9.18</v>
      </c>
    </row>
    <row r="59" spans="1:6" x14ac:dyDescent="0.2">
      <c r="A59" s="9" t="s">
        <v>93</v>
      </c>
      <c r="B59" s="10">
        <v>69.2</v>
      </c>
      <c r="C59" s="9">
        <v>19.48</v>
      </c>
      <c r="D59" s="9">
        <v>7.4</v>
      </c>
      <c r="E59" s="9">
        <v>19.82</v>
      </c>
      <c r="F59" s="29">
        <v>13.12</v>
      </c>
    </row>
    <row r="60" spans="1:6" x14ac:dyDescent="0.2">
      <c r="A60" s="6" t="s">
        <v>84</v>
      </c>
      <c r="B60" s="7">
        <v>71.400000000000006</v>
      </c>
      <c r="C60" s="6">
        <v>19.87</v>
      </c>
      <c r="D60" s="6">
        <v>6.29</v>
      </c>
      <c r="E60" s="6">
        <v>21.38</v>
      </c>
      <c r="F60" s="28">
        <v>7.86</v>
      </c>
    </row>
    <row r="61" spans="1:6" x14ac:dyDescent="0.2">
      <c r="A61" s="9" t="s">
        <v>104</v>
      </c>
      <c r="B61" s="10">
        <v>63.6</v>
      </c>
      <c r="C61" s="9">
        <v>24.03</v>
      </c>
      <c r="D61" s="9">
        <v>5.77</v>
      </c>
      <c r="E61" s="9">
        <v>22.43</v>
      </c>
      <c r="F61" s="29">
        <v>9.67</v>
      </c>
    </row>
    <row r="62" spans="1:6" x14ac:dyDescent="0.2">
      <c r="A62" s="6" t="s">
        <v>91</v>
      </c>
      <c r="B62" s="7">
        <v>60</v>
      </c>
      <c r="C62" s="6">
        <v>22.44</v>
      </c>
      <c r="D62" s="6">
        <v>12.95</v>
      </c>
      <c r="E62" s="6">
        <v>20.98</v>
      </c>
      <c r="F62" s="28">
        <v>10.11</v>
      </c>
    </row>
    <row r="63" spans="1:6" x14ac:dyDescent="0.2">
      <c r="A63" s="9" t="s">
        <v>107</v>
      </c>
      <c r="B63" s="10">
        <v>66.7</v>
      </c>
      <c r="C63" s="9">
        <v>22.92</v>
      </c>
      <c r="D63" s="9">
        <v>8.75</v>
      </c>
      <c r="E63" s="9">
        <v>18.87</v>
      </c>
      <c r="F63" s="29">
        <v>8.44</v>
      </c>
    </row>
    <row r="64" spans="1:6" x14ac:dyDescent="0.2">
      <c r="A64" s="6" t="s">
        <v>34</v>
      </c>
      <c r="B64" s="7">
        <v>56.3</v>
      </c>
      <c r="C64" s="6">
        <v>19.66</v>
      </c>
      <c r="D64" s="6">
        <v>6.36</v>
      </c>
      <c r="E64" s="6">
        <v>21.26</v>
      </c>
      <c r="F64" s="28">
        <v>5.93</v>
      </c>
    </row>
    <row r="65" spans="1:6" x14ac:dyDescent="0.2">
      <c r="A65" s="9" t="s">
        <v>35</v>
      </c>
      <c r="B65" s="10">
        <v>75</v>
      </c>
      <c r="C65" s="9">
        <v>19.93</v>
      </c>
      <c r="D65" s="9">
        <v>5.96</v>
      </c>
      <c r="E65" s="9">
        <v>17.899999999999999</v>
      </c>
      <c r="F65" s="29">
        <v>11.65</v>
      </c>
    </row>
    <row r="66" spans="1:6" x14ac:dyDescent="0.2">
      <c r="A66" s="6" t="s">
        <v>10</v>
      </c>
      <c r="B66" s="7">
        <v>72</v>
      </c>
      <c r="C66" s="6">
        <v>24.65</v>
      </c>
      <c r="D66" s="6">
        <v>10.41</v>
      </c>
      <c r="E66" s="6">
        <v>24.85</v>
      </c>
      <c r="F66" s="28">
        <v>3.18</v>
      </c>
    </row>
    <row r="67" spans="1:6" x14ac:dyDescent="0.2">
      <c r="A67" s="9" t="s">
        <v>49</v>
      </c>
      <c r="B67" s="10">
        <v>64.3</v>
      </c>
      <c r="C67" s="9">
        <v>20.37</v>
      </c>
      <c r="D67" s="9">
        <v>3.4</v>
      </c>
      <c r="E67" s="9">
        <v>22.25</v>
      </c>
      <c r="F67" s="29">
        <v>7</v>
      </c>
    </row>
    <row r="68" spans="1:6" x14ac:dyDescent="0.2">
      <c r="A68" s="6" t="s">
        <v>83</v>
      </c>
      <c r="B68" s="7">
        <v>68.2</v>
      </c>
      <c r="C68" s="6">
        <v>20.79</v>
      </c>
      <c r="D68" s="6">
        <v>15.9</v>
      </c>
      <c r="E68" s="6">
        <v>21.15</v>
      </c>
      <c r="F68" s="28">
        <v>9.4499999999999993</v>
      </c>
    </row>
    <row r="69" spans="1:6" x14ac:dyDescent="0.2">
      <c r="A69" s="9" t="s">
        <v>69</v>
      </c>
      <c r="B69" s="10">
        <v>77.8</v>
      </c>
      <c r="C69" s="9">
        <v>21.61</v>
      </c>
      <c r="D69" s="9">
        <v>9.06</v>
      </c>
      <c r="E69" s="9">
        <v>19.96</v>
      </c>
      <c r="F69" s="29">
        <v>9.16</v>
      </c>
    </row>
    <row r="70" spans="1:6" x14ac:dyDescent="0.2">
      <c r="A70" s="6" t="s">
        <v>111</v>
      </c>
      <c r="B70" s="7">
        <v>62.5</v>
      </c>
      <c r="C70" s="6">
        <v>22.39</v>
      </c>
      <c r="D70" s="6">
        <v>5</v>
      </c>
      <c r="E70" s="6">
        <v>19.3</v>
      </c>
      <c r="F70" s="28">
        <v>6.67</v>
      </c>
    </row>
    <row r="71" spans="1:6" x14ac:dyDescent="0.2">
      <c r="A71" s="9" t="s">
        <v>50</v>
      </c>
      <c r="B71" s="10">
        <v>58.3</v>
      </c>
      <c r="C71" s="9">
        <v>18.7</v>
      </c>
      <c r="D71" s="9">
        <v>9.2899999999999991</v>
      </c>
      <c r="E71" s="9">
        <v>22.64</v>
      </c>
      <c r="F71" s="29">
        <v>12.56</v>
      </c>
    </row>
    <row r="72" spans="1:6" x14ac:dyDescent="0.2">
      <c r="A72" s="6" t="s">
        <v>82</v>
      </c>
      <c r="B72" s="7">
        <v>46.2</v>
      </c>
      <c r="C72" s="6">
        <v>21.35</v>
      </c>
      <c r="D72" s="6">
        <v>4.55</v>
      </c>
      <c r="E72" s="6">
        <v>17.41</v>
      </c>
      <c r="F72" s="28">
        <v>8.83</v>
      </c>
    </row>
    <row r="73" spans="1:6" x14ac:dyDescent="0.2">
      <c r="A73" s="9" t="s">
        <v>46</v>
      </c>
      <c r="B73" s="10">
        <v>70.599999999999994</v>
      </c>
      <c r="C73" s="9">
        <v>18.28</v>
      </c>
      <c r="D73" s="9">
        <v>3.65</v>
      </c>
      <c r="E73" s="9">
        <v>18.809999999999999</v>
      </c>
      <c r="F73" s="29">
        <v>8.43</v>
      </c>
    </row>
    <row r="74" spans="1:6" x14ac:dyDescent="0.2">
      <c r="A74" s="6" t="s">
        <v>16</v>
      </c>
      <c r="B74" s="7">
        <v>88.2</v>
      </c>
      <c r="C74" s="6">
        <v>23.24</v>
      </c>
      <c r="D74" s="6">
        <v>7.84</v>
      </c>
      <c r="E74" s="6">
        <v>16.37</v>
      </c>
      <c r="F74" s="28">
        <v>13.07</v>
      </c>
    </row>
    <row r="75" spans="1:6" x14ac:dyDescent="0.2">
      <c r="A75" s="9" t="s">
        <v>51</v>
      </c>
      <c r="B75" s="10">
        <v>60.7</v>
      </c>
      <c r="C75" s="9">
        <v>19.71</v>
      </c>
      <c r="D75" s="9">
        <v>7.12</v>
      </c>
      <c r="E75" s="9">
        <v>19.38</v>
      </c>
      <c r="F75" s="29">
        <v>10.71</v>
      </c>
    </row>
    <row r="76" spans="1:6" x14ac:dyDescent="0.2">
      <c r="A76" s="6" t="s">
        <v>55</v>
      </c>
      <c r="B76" s="7">
        <v>77.8</v>
      </c>
      <c r="C76" s="6">
        <v>20.2</v>
      </c>
      <c r="D76" s="6">
        <v>13.6</v>
      </c>
      <c r="E76" s="6">
        <v>19.489999999999998</v>
      </c>
      <c r="F76" s="28">
        <v>9.6</v>
      </c>
    </row>
    <row r="77" spans="1:6" x14ac:dyDescent="0.2">
      <c r="A77" s="9" t="s">
        <v>23</v>
      </c>
      <c r="B77" s="10">
        <v>58.3</v>
      </c>
      <c r="C77" s="9">
        <v>20.47</v>
      </c>
      <c r="D77" s="9">
        <v>8.48</v>
      </c>
      <c r="E77" s="9">
        <v>23.42</v>
      </c>
      <c r="F77" s="29">
        <v>6.03</v>
      </c>
    </row>
    <row r="78" spans="1:6" x14ac:dyDescent="0.2">
      <c r="A78" s="6" t="s">
        <v>13</v>
      </c>
      <c r="B78" s="7">
        <v>65.400000000000006</v>
      </c>
      <c r="C78" s="6">
        <v>21.84</v>
      </c>
      <c r="D78" s="6">
        <v>8.75</v>
      </c>
      <c r="E78" s="6">
        <v>20.09</v>
      </c>
      <c r="F78" s="28">
        <v>14.7</v>
      </c>
    </row>
    <row r="79" spans="1:6" x14ac:dyDescent="0.2">
      <c r="A79" s="9" t="s">
        <v>4</v>
      </c>
      <c r="B79" s="10">
        <v>65</v>
      </c>
      <c r="C79" s="9">
        <v>22.72</v>
      </c>
      <c r="D79" s="9">
        <v>11.28</v>
      </c>
      <c r="E79" s="9">
        <v>17.239999999999998</v>
      </c>
      <c r="F79" s="29">
        <v>4.13</v>
      </c>
    </row>
    <row r="80" spans="1:6" x14ac:dyDescent="0.2">
      <c r="A80" s="6" t="s">
        <v>3</v>
      </c>
      <c r="B80" s="7">
        <v>72.2</v>
      </c>
      <c r="C80" s="6">
        <v>22.7</v>
      </c>
      <c r="D80" s="6">
        <v>5.8</v>
      </c>
      <c r="E80" s="6">
        <v>21.31</v>
      </c>
      <c r="F80" s="28">
        <v>5</v>
      </c>
    </row>
    <row r="81" spans="1:6" x14ac:dyDescent="0.2">
      <c r="A81" s="9" t="s">
        <v>2</v>
      </c>
      <c r="B81" s="10">
        <v>78.599999999999994</v>
      </c>
      <c r="C81" s="9">
        <v>20.48</v>
      </c>
      <c r="D81" s="9">
        <v>9.77</v>
      </c>
      <c r="E81" s="9">
        <v>21.04</v>
      </c>
      <c r="F81" s="29">
        <v>6.54</v>
      </c>
    </row>
    <row r="82" spans="1:6" x14ac:dyDescent="0.2">
      <c r="A82" s="6" t="s">
        <v>113</v>
      </c>
      <c r="B82" s="7">
        <v>60</v>
      </c>
      <c r="C82" s="6">
        <v>16.43</v>
      </c>
      <c r="D82" s="6">
        <v>9.33</v>
      </c>
      <c r="E82" s="6">
        <v>22.92</v>
      </c>
      <c r="F82" s="28">
        <v>0</v>
      </c>
    </row>
    <row r="83" spans="1:6" x14ac:dyDescent="0.2">
      <c r="A83" s="9" t="s">
        <v>18</v>
      </c>
      <c r="B83" s="10">
        <v>85.7</v>
      </c>
      <c r="C83" s="9">
        <v>19.690000000000001</v>
      </c>
      <c r="D83" s="9">
        <v>12.89</v>
      </c>
      <c r="E83" s="9">
        <v>21.39</v>
      </c>
      <c r="F83" s="29">
        <v>10.42</v>
      </c>
    </row>
    <row r="84" spans="1:6" x14ac:dyDescent="0.2">
      <c r="A84" s="6" t="s">
        <v>112</v>
      </c>
      <c r="B84" s="7">
        <v>86.4</v>
      </c>
      <c r="C84" s="6">
        <v>22.74</v>
      </c>
      <c r="D84" s="6">
        <v>6.06</v>
      </c>
      <c r="E84" s="6">
        <v>20.56</v>
      </c>
      <c r="F84" s="28">
        <v>10.039999999999999</v>
      </c>
    </row>
    <row r="85" spans="1:6" x14ac:dyDescent="0.2">
      <c r="A85" s="9" t="s">
        <v>6</v>
      </c>
      <c r="B85" s="10">
        <v>82.8</v>
      </c>
      <c r="C85" s="9">
        <v>20.89</v>
      </c>
      <c r="D85" s="9">
        <v>6.84</v>
      </c>
      <c r="E85" s="9">
        <v>26.11</v>
      </c>
      <c r="F85" s="29">
        <v>5.33</v>
      </c>
    </row>
    <row r="86" spans="1:6" x14ac:dyDescent="0.2">
      <c r="A86" s="6" t="s">
        <v>99</v>
      </c>
      <c r="B86" s="7">
        <v>76.2</v>
      </c>
      <c r="C86" s="6">
        <v>22.17</v>
      </c>
      <c r="D86" s="6">
        <v>7.35</v>
      </c>
      <c r="E86" s="6">
        <v>19.89</v>
      </c>
      <c r="F86" s="28">
        <v>5.14</v>
      </c>
    </row>
    <row r="87" spans="1:6" x14ac:dyDescent="0.2">
      <c r="A87" s="9" t="s">
        <v>96</v>
      </c>
      <c r="B87" s="10">
        <v>80</v>
      </c>
      <c r="C87" s="9">
        <v>19.57</v>
      </c>
      <c r="D87" s="9">
        <v>14.81</v>
      </c>
      <c r="E87" s="9">
        <v>19.760000000000002</v>
      </c>
      <c r="F87" s="29">
        <v>16.670000000000002</v>
      </c>
    </row>
    <row r="88" spans="1:6" x14ac:dyDescent="0.2">
      <c r="A88" s="6" t="s">
        <v>123</v>
      </c>
      <c r="B88" s="7">
        <v>65</v>
      </c>
      <c r="C88" s="6">
        <v>19.62</v>
      </c>
      <c r="D88" s="6">
        <v>7.62</v>
      </c>
      <c r="E88" s="6">
        <v>27.44</v>
      </c>
      <c r="F88" s="28">
        <v>9.58</v>
      </c>
    </row>
    <row r="89" spans="1:6" x14ac:dyDescent="0.2">
      <c r="A89" s="9" t="s">
        <v>119</v>
      </c>
      <c r="B89" s="10">
        <v>76.2</v>
      </c>
      <c r="C89" s="9">
        <v>23.55</v>
      </c>
      <c r="D89" s="9">
        <v>8.2899999999999991</v>
      </c>
      <c r="E89" s="9">
        <v>22.41</v>
      </c>
      <c r="F89" s="29">
        <v>8.39</v>
      </c>
    </row>
    <row r="90" spans="1:6" x14ac:dyDescent="0.2">
      <c r="A90" s="6" t="s">
        <v>48</v>
      </c>
      <c r="B90" s="7">
        <v>80</v>
      </c>
      <c r="C90" s="6">
        <v>21.22</v>
      </c>
      <c r="D90" s="6">
        <v>10.35</v>
      </c>
      <c r="E90" s="6">
        <v>21.57</v>
      </c>
      <c r="F90" s="28">
        <v>12</v>
      </c>
    </row>
    <row r="91" spans="1:6" x14ac:dyDescent="0.2">
      <c r="A91" s="9" t="s">
        <v>124</v>
      </c>
      <c r="B91" s="10">
        <v>46.2</v>
      </c>
      <c r="C91" s="9">
        <v>20.64</v>
      </c>
      <c r="D91" s="9">
        <v>6.9</v>
      </c>
      <c r="E91" s="9">
        <v>20.309999999999999</v>
      </c>
      <c r="F91" s="29">
        <v>6.27</v>
      </c>
    </row>
    <row r="92" spans="1:6" x14ac:dyDescent="0.2">
      <c r="A92" s="6" t="s">
        <v>7</v>
      </c>
      <c r="B92" s="7">
        <v>52.9</v>
      </c>
      <c r="C92" s="6">
        <v>18.79</v>
      </c>
      <c r="D92" s="6">
        <v>4.29</v>
      </c>
      <c r="E92" s="6">
        <v>21.7</v>
      </c>
      <c r="F92" s="28">
        <v>10.65</v>
      </c>
    </row>
    <row r="93" spans="1:6" x14ac:dyDescent="0.2">
      <c r="A93" s="9" t="s">
        <v>116</v>
      </c>
      <c r="B93" s="10">
        <v>79.2</v>
      </c>
      <c r="C93" s="9">
        <v>22.14</v>
      </c>
      <c r="D93" s="9">
        <v>7.08</v>
      </c>
      <c r="E93" s="9">
        <v>16.39</v>
      </c>
      <c r="F93" s="29">
        <v>0</v>
      </c>
    </row>
    <row r="94" spans="1:6" x14ac:dyDescent="0.2">
      <c r="A94" s="6" t="s">
        <v>98</v>
      </c>
      <c r="B94" s="7">
        <v>72</v>
      </c>
      <c r="C94" s="6">
        <v>19.13</v>
      </c>
      <c r="D94" s="6">
        <v>5</v>
      </c>
      <c r="E94" s="6">
        <v>22.5</v>
      </c>
      <c r="F94" s="28">
        <v>8.2200000000000006</v>
      </c>
    </row>
    <row r="95" spans="1:6" x14ac:dyDescent="0.2">
      <c r="A95" s="9" t="s">
        <v>15</v>
      </c>
      <c r="B95" s="10">
        <v>76.5</v>
      </c>
      <c r="C95" s="9">
        <v>20.67</v>
      </c>
      <c r="D95" s="9">
        <v>7.05</v>
      </c>
      <c r="E95" s="9">
        <v>21.75</v>
      </c>
      <c r="F95" s="29">
        <v>10.9</v>
      </c>
    </row>
    <row r="96" spans="1:6" x14ac:dyDescent="0.2">
      <c r="A96" s="6" t="s">
        <v>47</v>
      </c>
      <c r="B96" s="7">
        <v>76</v>
      </c>
      <c r="C96" s="6">
        <v>21.76</v>
      </c>
      <c r="D96" s="6">
        <v>8.94</v>
      </c>
      <c r="E96" s="6">
        <v>29.74</v>
      </c>
      <c r="F96" s="28">
        <v>14.95</v>
      </c>
    </row>
    <row r="97" spans="1:6" x14ac:dyDescent="0.2">
      <c r="A97" s="9" t="s">
        <v>37</v>
      </c>
      <c r="B97" s="10">
        <v>68.2</v>
      </c>
      <c r="C97" s="9">
        <v>22.45</v>
      </c>
      <c r="D97" s="9">
        <v>18.32</v>
      </c>
      <c r="E97" s="9">
        <v>21.16</v>
      </c>
      <c r="F97" s="29">
        <v>5.5</v>
      </c>
    </row>
    <row r="98" spans="1:6" x14ac:dyDescent="0.2">
      <c r="A98" s="6" t="s">
        <v>75</v>
      </c>
      <c r="B98" s="7">
        <v>73.900000000000006</v>
      </c>
      <c r="C98" s="6">
        <v>18.2</v>
      </c>
      <c r="D98" s="6">
        <v>8.35</v>
      </c>
      <c r="E98" s="6">
        <v>19.91</v>
      </c>
      <c r="F98" s="28">
        <v>10.58</v>
      </c>
    </row>
    <row r="99" spans="1:6" x14ac:dyDescent="0.2">
      <c r="A99" s="9" t="s">
        <v>27</v>
      </c>
      <c r="B99" s="10">
        <v>81.5</v>
      </c>
      <c r="C99" s="9">
        <v>21.62</v>
      </c>
      <c r="D99" s="9">
        <v>9.86</v>
      </c>
      <c r="E99" s="9">
        <v>20.190000000000001</v>
      </c>
      <c r="F99" s="29">
        <v>7.42</v>
      </c>
    </row>
    <row r="100" spans="1:6" x14ac:dyDescent="0.2">
      <c r="A100" s="6" t="s">
        <v>90</v>
      </c>
      <c r="B100" s="7">
        <v>62.5</v>
      </c>
      <c r="C100" s="6">
        <v>19.760000000000002</v>
      </c>
      <c r="D100" s="6">
        <v>12.28</v>
      </c>
      <c r="E100" s="6">
        <v>19.02</v>
      </c>
      <c r="F100" s="28">
        <v>11.15</v>
      </c>
    </row>
    <row r="101" spans="1:6" x14ac:dyDescent="0.2">
      <c r="A101" s="9" t="s">
        <v>117</v>
      </c>
      <c r="B101" s="10">
        <v>76.900000000000006</v>
      </c>
      <c r="C101" s="9">
        <v>22.69</v>
      </c>
      <c r="D101" s="9">
        <v>9.68</v>
      </c>
      <c r="E101" s="9">
        <v>18.809999999999999</v>
      </c>
      <c r="F101" s="29">
        <v>12.55</v>
      </c>
    </row>
    <row r="102" spans="1:6" x14ac:dyDescent="0.2">
      <c r="A102" s="6" t="s">
        <v>61</v>
      </c>
      <c r="B102" s="7">
        <v>66.7</v>
      </c>
      <c r="C102" s="6">
        <v>19.559999999999999</v>
      </c>
      <c r="D102" s="6">
        <v>8.0500000000000007</v>
      </c>
      <c r="E102" s="6">
        <v>30.07</v>
      </c>
      <c r="F102" s="28">
        <v>6.73</v>
      </c>
    </row>
    <row r="103" spans="1:6" x14ac:dyDescent="0.2">
      <c r="A103" s="9" t="s">
        <v>43</v>
      </c>
      <c r="B103" s="10">
        <v>86.7</v>
      </c>
      <c r="C103" s="9">
        <v>23.12</v>
      </c>
      <c r="D103" s="9">
        <v>12.45</v>
      </c>
      <c r="E103" s="9">
        <v>19.690000000000001</v>
      </c>
      <c r="F103" s="29">
        <v>14.04</v>
      </c>
    </row>
    <row r="104" spans="1:6" x14ac:dyDescent="0.2">
      <c r="A104" s="6" t="s">
        <v>121</v>
      </c>
      <c r="B104" s="7">
        <v>63.2</v>
      </c>
      <c r="C104" s="6">
        <v>18.18</v>
      </c>
      <c r="D104" s="6">
        <v>10.33</v>
      </c>
      <c r="E104" s="6">
        <v>21.17</v>
      </c>
      <c r="F104" s="28">
        <v>0</v>
      </c>
    </row>
    <row r="105" spans="1:6" x14ac:dyDescent="0.2">
      <c r="A105" s="9" t="s">
        <v>28</v>
      </c>
      <c r="B105" s="10">
        <v>71.400000000000006</v>
      </c>
      <c r="C105" s="9">
        <v>18.670000000000002</v>
      </c>
      <c r="D105" s="9">
        <v>3.61</v>
      </c>
      <c r="E105" s="9">
        <v>20.97</v>
      </c>
      <c r="F105" s="29">
        <v>11.93</v>
      </c>
    </row>
    <row r="106" spans="1:6" x14ac:dyDescent="0.2">
      <c r="A106" s="6" t="s">
        <v>14</v>
      </c>
      <c r="B106" s="7">
        <v>77.3</v>
      </c>
      <c r="C106" s="6">
        <v>20.8</v>
      </c>
      <c r="D106" s="6">
        <v>6.76</v>
      </c>
      <c r="E106" s="6">
        <v>18.89</v>
      </c>
      <c r="F106" s="28">
        <v>5.67</v>
      </c>
    </row>
    <row r="107" spans="1:6" x14ac:dyDescent="0.2">
      <c r="A107" s="9" t="s">
        <v>53</v>
      </c>
      <c r="B107" s="10">
        <v>71.400000000000006</v>
      </c>
      <c r="C107" s="9">
        <v>21.43</v>
      </c>
      <c r="D107" s="9">
        <v>6.56</v>
      </c>
      <c r="E107" s="9">
        <v>25.03</v>
      </c>
      <c r="F107" s="29">
        <v>2.5299999999999998</v>
      </c>
    </row>
    <row r="108" spans="1:6" x14ac:dyDescent="0.2">
      <c r="A108" s="6" t="s">
        <v>74</v>
      </c>
      <c r="B108" s="7">
        <v>50</v>
      </c>
      <c r="C108" s="6">
        <v>16.760000000000002</v>
      </c>
      <c r="D108" s="6">
        <v>4.5599999999999996</v>
      </c>
      <c r="E108" s="6">
        <v>25.62</v>
      </c>
      <c r="F108" s="28">
        <v>12.34</v>
      </c>
    </row>
    <row r="109" spans="1:6" x14ac:dyDescent="0.2">
      <c r="A109" s="9" t="s">
        <v>59</v>
      </c>
      <c r="B109" s="10">
        <v>66.7</v>
      </c>
      <c r="C109" s="9">
        <v>20.37</v>
      </c>
      <c r="D109" s="9">
        <v>7.47</v>
      </c>
      <c r="E109" s="9">
        <v>15.62</v>
      </c>
      <c r="F109" s="29">
        <v>10.91</v>
      </c>
    </row>
    <row r="110" spans="1:6" x14ac:dyDescent="0.2">
      <c r="A110" s="6" t="s">
        <v>56</v>
      </c>
      <c r="B110" s="7">
        <v>76.5</v>
      </c>
      <c r="C110" s="6">
        <v>28.15</v>
      </c>
      <c r="D110" s="6">
        <v>9.5299999999999994</v>
      </c>
      <c r="E110" s="6">
        <v>25.06</v>
      </c>
      <c r="F110" s="28">
        <v>11.56</v>
      </c>
    </row>
    <row r="111" spans="1:6" x14ac:dyDescent="0.2">
      <c r="A111" s="9" t="s">
        <v>0</v>
      </c>
      <c r="B111" s="10">
        <v>72.400000000000006</v>
      </c>
      <c r="C111" s="9">
        <v>26.58</v>
      </c>
      <c r="D111" s="9">
        <v>8.75</v>
      </c>
      <c r="E111" s="9">
        <v>21.11</v>
      </c>
      <c r="F111" s="29">
        <v>4</v>
      </c>
    </row>
    <row r="112" spans="1:6" x14ac:dyDescent="0.2">
      <c r="A112" s="6" t="s">
        <v>31</v>
      </c>
      <c r="B112" s="7">
        <v>81.8</v>
      </c>
      <c r="C112" s="6">
        <v>19.079999999999998</v>
      </c>
      <c r="D112" s="6">
        <v>9.0500000000000007</v>
      </c>
      <c r="E112" s="6">
        <v>21.53</v>
      </c>
      <c r="F112" s="28">
        <v>12.95</v>
      </c>
    </row>
    <row r="113" spans="1:6" x14ac:dyDescent="0.2">
      <c r="A113" s="9" t="s">
        <v>62</v>
      </c>
      <c r="B113" s="10">
        <v>62.5</v>
      </c>
      <c r="C113" s="9">
        <v>22</v>
      </c>
      <c r="D113" s="9">
        <v>6.2</v>
      </c>
      <c r="E113" s="9">
        <v>16.760000000000002</v>
      </c>
      <c r="F113" s="29">
        <v>6.5</v>
      </c>
    </row>
    <row r="114" spans="1:6" x14ac:dyDescent="0.2">
      <c r="A114" s="6" t="s">
        <v>26</v>
      </c>
      <c r="B114" s="7">
        <v>81.8</v>
      </c>
      <c r="C114" s="6">
        <v>22.14</v>
      </c>
      <c r="D114" s="6">
        <v>9.73</v>
      </c>
      <c r="E114" s="6">
        <v>22.47</v>
      </c>
      <c r="F114" s="28">
        <v>10.17</v>
      </c>
    </row>
    <row r="115" spans="1:6" x14ac:dyDescent="0.2">
      <c r="A115" s="9" t="s">
        <v>57</v>
      </c>
      <c r="B115" s="10">
        <v>82.1</v>
      </c>
      <c r="C115" s="9">
        <v>23.74</v>
      </c>
      <c r="D115" s="9">
        <v>13.79</v>
      </c>
      <c r="E115" s="9">
        <v>20.77</v>
      </c>
      <c r="F115" s="29">
        <v>10.1</v>
      </c>
    </row>
    <row r="116" spans="1:6" x14ac:dyDescent="0.2">
      <c r="A116" s="6" t="s">
        <v>44</v>
      </c>
      <c r="B116" s="7">
        <v>57.1</v>
      </c>
      <c r="C116" s="6">
        <v>20.5</v>
      </c>
      <c r="D116" s="6">
        <v>8.9700000000000006</v>
      </c>
      <c r="E116" s="6">
        <v>17.55</v>
      </c>
      <c r="F116" s="28">
        <v>6.94</v>
      </c>
    </row>
    <row r="117" spans="1:6" x14ac:dyDescent="0.2">
      <c r="A117" s="9" t="s">
        <v>128</v>
      </c>
      <c r="B117" s="10">
        <v>81.3</v>
      </c>
      <c r="C117" s="9">
        <v>22.05</v>
      </c>
      <c r="D117" s="9">
        <v>5.07</v>
      </c>
      <c r="E117" s="9">
        <v>17.47</v>
      </c>
      <c r="F117" s="29">
        <v>10.26</v>
      </c>
    </row>
    <row r="118" spans="1:6" x14ac:dyDescent="0.2">
      <c r="A118" s="6" t="s">
        <v>102</v>
      </c>
      <c r="B118" s="7">
        <v>81</v>
      </c>
      <c r="C118" s="6">
        <v>21.34</v>
      </c>
      <c r="D118" s="6">
        <v>4.5199999999999996</v>
      </c>
      <c r="E118" s="6">
        <v>20.41</v>
      </c>
      <c r="F118" s="28">
        <v>0</v>
      </c>
    </row>
    <row r="119" spans="1:6" x14ac:dyDescent="0.2">
      <c r="A119" s="9" t="s">
        <v>92</v>
      </c>
      <c r="B119" s="10">
        <v>66.7</v>
      </c>
      <c r="C119" s="9">
        <v>20.239999999999998</v>
      </c>
      <c r="D119" s="9">
        <v>6.53</v>
      </c>
      <c r="E119" s="9">
        <v>21.58</v>
      </c>
      <c r="F119" s="29">
        <v>4.17</v>
      </c>
    </row>
    <row r="120" spans="1:6" x14ac:dyDescent="0.2">
      <c r="A120" s="6" t="s">
        <v>100</v>
      </c>
      <c r="B120" s="7">
        <v>81.5</v>
      </c>
      <c r="C120" s="6">
        <v>25.29</v>
      </c>
      <c r="D120" s="6">
        <v>4.42</v>
      </c>
      <c r="E120" s="6">
        <v>18.809999999999999</v>
      </c>
      <c r="F120" s="28">
        <v>5.36</v>
      </c>
    </row>
    <row r="121" spans="1:6" x14ac:dyDescent="0.2">
      <c r="A121" s="9" t="s">
        <v>64</v>
      </c>
      <c r="B121" s="10">
        <v>71.400000000000006</v>
      </c>
      <c r="C121" s="9">
        <v>19.5</v>
      </c>
      <c r="D121" s="9">
        <v>7</v>
      </c>
      <c r="E121" s="9">
        <v>20.37</v>
      </c>
      <c r="F121" s="29">
        <v>12.42</v>
      </c>
    </row>
    <row r="122" spans="1:6" x14ac:dyDescent="0.2">
      <c r="A122" s="6" t="s">
        <v>32</v>
      </c>
      <c r="B122" s="7">
        <v>78.900000000000006</v>
      </c>
      <c r="C122" s="6">
        <v>18.440000000000001</v>
      </c>
      <c r="D122" s="6">
        <v>8.68</v>
      </c>
      <c r="E122" s="6">
        <v>20.6</v>
      </c>
      <c r="F122" s="28">
        <v>0.75</v>
      </c>
    </row>
    <row r="123" spans="1:6" x14ac:dyDescent="0.2">
      <c r="A123" s="9" t="s">
        <v>17</v>
      </c>
      <c r="B123" s="10">
        <v>83.3</v>
      </c>
      <c r="C123" s="9">
        <v>21.84</v>
      </c>
      <c r="D123" s="9">
        <v>9.44</v>
      </c>
      <c r="E123" s="9">
        <v>20.3</v>
      </c>
      <c r="F123" s="29">
        <v>13.54</v>
      </c>
    </row>
    <row r="124" spans="1:6" x14ac:dyDescent="0.2">
      <c r="A124" s="6" t="s">
        <v>41</v>
      </c>
      <c r="B124" s="7">
        <v>64.7</v>
      </c>
      <c r="C124" s="6">
        <v>19.399999999999999</v>
      </c>
      <c r="D124" s="6">
        <v>7.17</v>
      </c>
      <c r="E124" s="6">
        <v>21.81</v>
      </c>
      <c r="F124" s="28">
        <v>9.1300000000000008</v>
      </c>
    </row>
    <row r="125" spans="1:6" x14ac:dyDescent="0.2">
      <c r="A125" s="9" t="s">
        <v>20</v>
      </c>
      <c r="B125" s="10">
        <v>76.900000000000006</v>
      </c>
      <c r="C125" s="9">
        <v>23.93</v>
      </c>
      <c r="D125" s="9">
        <v>3.12</v>
      </c>
      <c r="E125" s="9">
        <v>22.33</v>
      </c>
      <c r="F125" s="29">
        <v>5.26</v>
      </c>
    </row>
    <row r="126" spans="1:6" x14ac:dyDescent="0.2">
      <c r="A126" s="6" t="s">
        <v>80</v>
      </c>
      <c r="B126" s="7">
        <v>76.2</v>
      </c>
      <c r="C126" s="6">
        <v>21.59</v>
      </c>
      <c r="D126" s="6">
        <v>8</v>
      </c>
      <c r="E126" s="6">
        <v>20.22</v>
      </c>
      <c r="F126" s="28">
        <v>11.85</v>
      </c>
    </row>
    <row r="127" spans="1:6" x14ac:dyDescent="0.2">
      <c r="A127" s="9" t="s">
        <v>29</v>
      </c>
      <c r="B127" s="10">
        <v>82.4</v>
      </c>
      <c r="C127" s="9">
        <v>24.33</v>
      </c>
      <c r="D127" s="9">
        <v>1.73</v>
      </c>
      <c r="E127" s="9">
        <v>21.58</v>
      </c>
      <c r="F127" s="29">
        <v>13.26</v>
      </c>
    </row>
    <row r="128" spans="1:6" x14ac:dyDescent="0.2">
      <c r="A128" s="6" t="s">
        <v>25</v>
      </c>
      <c r="B128" s="7">
        <v>86.4</v>
      </c>
      <c r="C128" s="6">
        <v>21.65</v>
      </c>
      <c r="D128" s="6">
        <v>11.08</v>
      </c>
      <c r="E128" s="6">
        <v>19.899999999999999</v>
      </c>
      <c r="F128" s="28">
        <v>9.66</v>
      </c>
    </row>
    <row r="129" spans="1:6" x14ac:dyDescent="0.2">
      <c r="A129" s="2" t="s">
        <v>106</v>
      </c>
      <c r="B129" s="4">
        <v>70.599999999999994</v>
      </c>
      <c r="C129" s="2">
        <v>20.03</v>
      </c>
      <c r="D129" s="2">
        <v>10.19</v>
      </c>
      <c r="E129" s="2">
        <v>24.41</v>
      </c>
      <c r="F129" s="30">
        <v>8.08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126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6.66406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84.6</v>
      </c>
      <c r="C2" s="6">
        <v>23.71</v>
      </c>
      <c r="D2" s="6">
        <v>3.29</v>
      </c>
      <c r="E2" s="6">
        <v>19.18</v>
      </c>
      <c r="F2" s="28">
        <v>3.89</v>
      </c>
      <c r="H2">
        <v>1</v>
      </c>
      <c r="I2" t="s">
        <v>88</v>
      </c>
      <c r="J2">
        <f>VLOOKUP(I2,'ST 2013'!$A$2:$F$126,2)</f>
        <v>95.5</v>
      </c>
      <c r="K2">
        <f>VLOOKUP(I2,'ST 2013'!$A$2:$F$126,3)</f>
        <v>28.16</v>
      </c>
      <c r="L2">
        <f>VLOOKUP(I2,'ST 2013'!$A$2:$F$126,4)</f>
        <v>10</v>
      </c>
      <c r="M2">
        <f>VLOOKUP(I2,'ST 2013'!$A$2:$F$126,5)</f>
        <v>18.59</v>
      </c>
      <c r="N2">
        <f>VLOOKUP(I2,'ST 2013'!$A$2:$F$126,6)</f>
        <v>16.93</v>
      </c>
      <c r="O2">
        <v>2013</v>
      </c>
    </row>
    <row r="3" spans="1:15" x14ac:dyDescent="0.2">
      <c r="A3" s="9" t="s">
        <v>103</v>
      </c>
      <c r="B3" s="10">
        <v>56.3</v>
      </c>
      <c r="C3" s="9">
        <v>18.57</v>
      </c>
      <c r="D3" s="9">
        <v>3.27</v>
      </c>
      <c r="E3" s="9">
        <v>18.36</v>
      </c>
      <c r="F3" s="29">
        <v>7.27</v>
      </c>
      <c r="H3">
        <v>2</v>
      </c>
      <c r="I3" t="s">
        <v>19</v>
      </c>
      <c r="J3">
        <f>VLOOKUP(I3,'ST 2013'!$A$2:$F$126,2)</f>
        <v>71.400000000000006</v>
      </c>
      <c r="K3">
        <f>VLOOKUP(I3,'ST 2013'!$A$2:$F$126,3)</f>
        <v>23.4</v>
      </c>
      <c r="L3">
        <f>VLOOKUP(I3,'ST 2013'!$A$2:$F$126,4)</f>
        <v>11.78</v>
      </c>
      <c r="M3">
        <f>VLOOKUP(I3,'ST 2013'!$A$2:$F$126,5)</f>
        <v>25.79</v>
      </c>
      <c r="N3">
        <f>VLOOKUP(I3,'ST 2013'!$A$2:$F$126,6)</f>
        <v>7</v>
      </c>
      <c r="O3">
        <v>2013</v>
      </c>
    </row>
    <row r="4" spans="1:15" x14ac:dyDescent="0.2">
      <c r="A4" s="6" t="s">
        <v>11</v>
      </c>
      <c r="B4" s="7">
        <v>65</v>
      </c>
      <c r="C4" s="6">
        <v>23.74</v>
      </c>
      <c r="D4" s="6">
        <v>14.24</v>
      </c>
      <c r="E4" s="6">
        <v>20.59</v>
      </c>
      <c r="F4" s="28">
        <v>4.46</v>
      </c>
      <c r="H4">
        <v>3</v>
      </c>
      <c r="I4" t="s">
        <v>104</v>
      </c>
      <c r="J4">
        <f>VLOOKUP(I4,'ST 2013'!$A$2:$F$126,2)</f>
        <v>86.4</v>
      </c>
      <c r="K4">
        <f>VLOOKUP(I4,'ST 2013'!$A$2:$F$126,3)</f>
        <v>19.170000000000002</v>
      </c>
      <c r="L4">
        <f>VLOOKUP(I4,'ST 2013'!$A$2:$F$126,4)</f>
        <v>9.81</v>
      </c>
      <c r="M4">
        <f>VLOOKUP(I4,'ST 2013'!$A$2:$F$126,5)</f>
        <v>21.18</v>
      </c>
      <c r="N4">
        <f>VLOOKUP(I4,'ST 2013'!$A$2:$F$126,6)</f>
        <v>6.67</v>
      </c>
      <c r="O4">
        <v>2013</v>
      </c>
    </row>
    <row r="5" spans="1:15" x14ac:dyDescent="0.2">
      <c r="A5" s="9" t="s">
        <v>5</v>
      </c>
      <c r="B5" s="10">
        <v>63.2</v>
      </c>
      <c r="C5" s="9">
        <v>19.88</v>
      </c>
      <c r="D5" s="9">
        <v>7.22</v>
      </c>
      <c r="E5" s="9">
        <v>19.54</v>
      </c>
      <c r="F5" s="29">
        <v>3.13</v>
      </c>
      <c r="H5">
        <v>4</v>
      </c>
      <c r="I5" t="s">
        <v>98</v>
      </c>
      <c r="J5">
        <f>VLOOKUP(I5,'ST 2013'!$A$2:$F$126,2)</f>
        <v>83.3</v>
      </c>
      <c r="K5">
        <f>VLOOKUP(I5,'ST 2013'!$A$2:$F$126,3)</f>
        <v>19.690000000000001</v>
      </c>
      <c r="L5">
        <f>VLOOKUP(I5,'ST 2013'!$A$2:$F$126,4)</f>
        <v>3.77</v>
      </c>
      <c r="M5">
        <f>VLOOKUP(I5,'ST 2013'!$A$2:$F$126,5)</f>
        <v>22.45</v>
      </c>
      <c r="N5">
        <f>VLOOKUP(I5,'ST 2013'!$A$2:$F$126,6)</f>
        <v>8.25</v>
      </c>
      <c r="O5">
        <v>2013</v>
      </c>
    </row>
    <row r="6" spans="1:15" x14ac:dyDescent="0.2">
      <c r="A6" s="6" t="s">
        <v>38</v>
      </c>
      <c r="B6" s="7">
        <v>83.3</v>
      </c>
      <c r="C6" s="6">
        <v>21.56</v>
      </c>
      <c r="D6" s="6">
        <v>5.72</v>
      </c>
      <c r="E6" s="6">
        <v>21.33</v>
      </c>
      <c r="F6" s="28">
        <v>10.050000000000001</v>
      </c>
      <c r="H6">
        <v>5</v>
      </c>
      <c r="I6" t="s">
        <v>10</v>
      </c>
      <c r="J6">
        <f>VLOOKUP(I6,'ST 2013'!$A$2:$F$126,2)</f>
        <v>72</v>
      </c>
      <c r="K6">
        <f>VLOOKUP(I6,'ST 2013'!$A$2:$F$126,3)</f>
        <v>23.07</v>
      </c>
      <c r="L6">
        <f>VLOOKUP(I6,'ST 2013'!$A$2:$F$126,4)</f>
        <v>6.72</v>
      </c>
      <c r="M6">
        <f>VLOOKUP(I6,'ST 2013'!$A$2:$F$126,5)</f>
        <v>22.37</v>
      </c>
      <c r="N6">
        <f>VLOOKUP(I6,'ST 2013'!$A$2:$F$126,6)</f>
        <v>8.5</v>
      </c>
      <c r="O6">
        <v>2013</v>
      </c>
    </row>
    <row r="7" spans="1:15" x14ac:dyDescent="0.2">
      <c r="A7" s="9" t="s">
        <v>63</v>
      </c>
      <c r="B7" s="10">
        <v>81.3</v>
      </c>
      <c r="C7" s="9">
        <v>21.14</v>
      </c>
      <c r="D7" s="9">
        <v>7.44</v>
      </c>
      <c r="E7" s="9">
        <v>24.25</v>
      </c>
      <c r="F7" s="29">
        <v>13.16</v>
      </c>
      <c r="H7">
        <v>6</v>
      </c>
      <c r="I7" t="s">
        <v>3</v>
      </c>
      <c r="J7">
        <f>VLOOKUP(I7,'ST 2013'!$A$2:$F$126,2)</f>
        <v>88.9</v>
      </c>
      <c r="K7">
        <f>VLOOKUP(I7,'ST 2013'!$A$2:$F$126,3)</f>
        <v>22.38</v>
      </c>
      <c r="L7">
        <f>VLOOKUP(I7,'ST 2013'!$A$2:$F$126,4)</f>
        <v>14.17</v>
      </c>
      <c r="M7">
        <f>VLOOKUP(I7,'ST 2013'!$A$2:$F$126,5)</f>
        <v>23.28</v>
      </c>
      <c r="N7">
        <f>VLOOKUP(I7,'ST 2013'!$A$2:$F$126,6)</f>
        <v>15.6</v>
      </c>
      <c r="O7">
        <v>2013</v>
      </c>
    </row>
    <row r="8" spans="1:15" x14ac:dyDescent="0.2">
      <c r="A8" s="6" t="s">
        <v>8</v>
      </c>
      <c r="B8" s="7">
        <v>83.3</v>
      </c>
      <c r="C8" s="6">
        <v>23.93</v>
      </c>
      <c r="D8" s="6">
        <v>8.76</v>
      </c>
      <c r="E8" s="6">
        <v>19.899999999999999</v>
      </c>
      <c r="F8" s="28">
        <v>7.18</v>
      </c>
      <c r="H8">
        <v>7</v>
      </c>
      <c r="I8" t="s">
        <v>11</v>
      </c>
      <c r="J8">
        <f>VLOOKUP(I8,'ST 2013'!$A$2:$F$126,2)</f>
        <v>65</v>
      </c>
      <c r="K8">
        <f>VLOOKUP(I8,'ST 2013'!$A$2:$F$126,3)</f>
        <v>23.74</v>
      </c>
      <c r="L8">
        <f>VLOOKUP(I8,'ST 2013'!$A$2:$F$126,4)</f>
        <v>14.24</v>
      </c>
      <c r="M8">
        <f>VLOOKUP(I8,'ST 2013'!$A$2:$F$126,5)</f>
        <v>20.59</v>
      </c>
      <c r="N8">
        <f>VLOOKUP(I8,'ST 2013'!$A$2:$F$126,6)</f>
        <v>4.46</v>
      </c>
      <c r="O8">
        <v>2013</v>
      </c>
    </row>
    <row r="9" spans="1:15" x14ac:dyDescent="0.2">
      <c r="A9" s="9" t="s">
        <v>42</v>
      </c>
      <c r="B9" s="10">
        <v>72.7</v>
      </c>
      <c r="C9" s="9">
        <v>15.28</v>
      </c>
      <c r="D9" s="9">
        <v>3.36</v>
      </c>
      <c r="E9" s="9">
        <v>20.29</v>
      </c>
      <c r="F9" s="29">
        <v>6.75</v>
      </c>
      <c r="H9">
        <v>8</v>
      </c>
      <c r="I9" t="s">
        <v>24</v>
      </c>
      <c r="J9">
        <f>VLOOKUP(I9,'ST 2013'!$A$2:$F$126,2)</f>
        <v>87.5</v>
      </c>
      <c r="K9">
        <f>VLOOKUP(I9,'ST 2013'!$A$2:$F$126,3)</f>
        <v>18.79</v>
      </c>
      <c r="L9">
        <f>VLOOKUP(I9,'ST 2013'!$A$2:$F$126,4)</f>
        <v>8.34</v>
      </c>
      <c r="M9">
        <f>VLOOKUP(I9,'ST 2013'!$A$2:$F$126,5)</f>
        <v>19.440000000000001</v>
      </c>
      <c r="N9">
        <f>VLOOKUP(I9,'ST 2013'!$A$2:$F$126,6)</f>
        <v>5.44</v>
      </c>
      <c r="O9">
        <v>2013</v>
      </c>
    </row>
    <row r="10" spans="1:15" x14ac:dyDescent="0.2">
      <c r="A10" s="6" t="s">
        <v>19</v>
      </c>
      <c r="B10" s="7">
        <v>71.400000000000006</v>
      </c>
      <c r="C10" s="6">
        <v>23.4</v>
      </c>
      <c r="D10" s="6">
        <v>11.78</v>
      </c>
      <c r="E10" s="6">
        <v>25.79</v>
      </c>
      <c r="F10" s="28">
        <v>7</v>
      </c>
      <c r="H10">
        <v>9</v>
      </c>
      <c r="I10" t="s">
        <v>18</v>
      </c>
      <c r="J10">
        <f>VLOOKUP(I10,'ST 2013'!$A$2:$F$126,2)</f>
        <v>71.400000000000006</v>
      </c>
      <c r="K10">
        <f>VLOOKUP(I10,'ST 2013'!$A$2:$F$126,3)</f>
        <v>21.69</v>
      </c>
      <c r="L10">
        <f>VLOOKUP(I10,'ST 2013'!$A$2:$F$126,4)</f>
        <v>12.39</v>
      </c>
      <c r="M10">
        <f>VLOOKUP(I10,'ST 2013'!$A$2:$F$126,5)</f>
        <v>21.65</v>
      </c>
      <c r="N10">
        <f>VLOOKUP(I10,'ST 2013'!$A$2:$F$126,6)</f>
        <v>3.25</v>
      </c>
      <c r="O10">
        <v>2013</v>
      </c>
    </row>
    <row r="11" spans="1:15" x14ac:dyDescent="0.2">
      <c r="A11" s="9" t="s">
        <v>120</v>
      </c>
      <c r="B11" s="10">
        <v>79.2</v>
      </c>
      <c r="C11" s="9">
        <v>20.57</v>
      </c>
      <c r="D11" s="9">
        <v>8.4</v>
      </c>
      <c r="E11" s="9">
        <v>18.57</v>
      </c>
      <c r="F11" s="29">
        <v>9.15</v>
      </c>
      <c r="H11">
        <v>10</v>
      </c>
      <c r="I11" t="s">
        <v>0</v>
      </c>
      <c r="J11">
        <f>VLOOKUP(I11,'ST 2013'!$A$2:$F$126,2)</f>
        <v>87.5</v>
      </c>
      <c r="K11">
        <f>VLOOKUP(I11,'ST 2013'!$A$2:$F$126,3)</f>
        <v>22.51</v>
      </c>
      <c r="L11">
        <f>VLOOKUP(I11,'ST 2013'!$A$2:$F$126,4)</f>
        <v>10.78</v>
      </c>
      <c r="M11">
        <f>VLOOKUP(I11,'ST 2013'!$A$2:$F$126,5)</f>
        <v>20.309999999999999</v>
      </c>
      <c r="N11">
        <f>VLOOKUP(I11,'ST 2013'!$A$2:$F$126,6)</f>
        <v>5.0599999999999996</v>
      </c>
      <c r="O11">
        <v>2013</v>
      </c>
    </row>
    <row r="12" spans="1:15" x14ac:dyDescent="0.2">
      <c r="A12" s="6" t="s">
        <v>94</v>
      </c>
      <c r="B12" s="7">
        <v>62.5</v>
      </c>
      <c r="C12" s="6">
        <v>22</v>
      </c>
      <c r="D12" s="6">
        <v>8.5</v>
      </c>
      <c r="E12" s="6">
        <v>20.010000000000002</v>
      </c>
      <c r="F12" s="28">
        <v>16.829999999999998</v>
      </c>
      <c r="H12">
        <v>11</v>
      </c>
      <c r="I12" t="s">
        <v>37</v>
      </c>
      <c r="J12">
        <f>VLOOKUP(I12,'ST 2013'!$A$2:$F$126,2)</f>
        <v>76.900000000000006</v>
      </c>
      <c r="K12">
        <f>VLOOKUP(I12,'ST 2013'!$A$2:$F$126,3)</f>
        <v>27.4</v>
      </c>
      <c r="L12">
        <f>VLOOKUP(I12,'ST 2013'!$A$2:$F$126,4)</f>
        <v>8.17</v>
      </c>
      <c r="M12">
        <f>VLOOKUP(I12,'ST 2013'!$A$2:$F$126,5)</f>
        <v>18.12</v>
      </c>
      <c r="N12">
        <f>VLOOKUP(I12,'ST 2013'!$A$2:$F$126,6)</f>
        <v>7.14</v>
      </c>
      <c r="O12">
        <v>2013</v>
      </c>
    </row>
    <row r="13" spans="1:15" x14ac:dyDescent="0.2">
      <c r="A13" s="9" t="s">
        <v>33</v>
      </c>
      <c r="B13" s="10">
        <v>89.5</v>
      </c>
      <c r="C13" s="9">
        <v>23.69</v>
      </c>
      <c r="D13" s="9">
        <v>15.7</v>
      </c>
      <c r="E13" s="9">
        <v>20.079999999999998</v>
      </c>
      <c r="F13" s="29">
        <v>3.15</v>
      </c>
      <c r="H13">
        <v>12</v>
      </c>
      <c r="I13" t="s">
        <v>4</v>
      </c>
      <c r="J13">
        <f>VLOOKUP(I13,'ST 2013'!$A$2:$F$126,2)</f>
        <v>90</v>
      </c>
      <c r="K13">
        <f>VLOOKUP(I13,'ST 2013'!$A$2:$F$126,3)</f>
        <v>22.93</v>
      </c>
      <c r="L13">
        <f>VLOOKUP(I13,'ST 2013'!$A$2:$F$126,4)</f>
        <v>8.1</v>
      </c>
      <c r="M13">
        <f>VLOOKUP(I13,'ST 2013'!$A$2:$F$126,5)</f>
        <v>18.39</v>
      </c>
      <c r="N13">
        <f>VLOOKUP(I13,'ST 2013'!$A$2:$F$126,6)</f>
        <v>16.43</v>
      </c>
      <c r="O13">
        <v>2013</v>
      </c>
    </row>
    <row r="14" spans="1:15" x14ac:dyDescent="0.2">
      <c r="A14" s="6" t="s">
        <v>79</v>
      </c>
      <c r="B14" s="7">
        <v>100</v>
      </c>
      <c r="C14" s="6">
        <v>20.13</v>
      </c>
      <c r="D14" s="6">
        <v>10.210000000000001</v>
      </c>
      <c r="E14" s="6">
        <v>20.239999999999998</v>
      </c>
      <c r="F14" s="28">
        <v>5.61</v>
      </c>
      <c r="H14">
        <v>13</v>
      </c>
      <c r="I14" t="s">
        <v>94</v>
      </c>
      <c r="J14">
        <f>VLOOKUP(I14,'ST 2013'!$A$2:$F$126,2)</f>
        <v>62.5</v>
      </c>
      <c r="K14">
        <f>VLOOKUP(I14,'ST 2013'!$A$2:$F$126,3)</f>
        <v>22</v>
      </c>
      <c r="L14">
        <f>VLOOKUP(I14,'ST 2013'!$A$2:$F$126,4)</f>
        <v>8.5</v>
      </c>
      <c r="M14">
        <f>VLOOKUP(I14,'ST 2013'!$A$2:$F$126,5)</f>
        <v>20.010000000000002</v>
      </c>
      <c r="N14">
        <f>VLOOKUP(I14,'ST 2013'!$A$2:$F$126,6)</f>
        <v>16.829999999999998</v>
      </c>
      <c r="O14">
        <v>2013</v>
      </c>
    </row>
    <row r="15" spans="1:15" x14ac:dyDescent="0.2">
      <c r="A15" s="9" t="s">
        <v>87</v>
      </c>
      <c r="B15" s="10">
        <v>81.8</v>
      </c>
      <c r="C15" s="9">
        <v>24.2</v>
      </c>
      <c r="D15" s="9">
        <v>14.33</v>
      </c>
      <c r="E15" s="9">
        <v>21.13</v>
      </c>
      <c r="F15" s="29">
        <v>7.25</v>
      </c>
      <c r="H15">
        <v>14</v>
      </c>
      <c r="I15" t="s">
        <v>70</v>
      </c>
      <c r="J15">
        <f>VLOOKUP(I15,'ST 2013'!$A$2:$F$126,2)</f>
        <v>92.9</v>
      </c>
      <c r="K15">
        <f>VLOOKUP(I15,'ST 2013'!$A$2:$F$126,3)</f>
        <v>25.47</v>
      </c>
      <c r="L15">
        <f>VLOOKUP(I15,'ST 2013'!$A$2:$F$126,4)</f>
        <v>7.48</v>
      </c>
      <c r="M15">
        <f>VLOOKUP(I15,'ST 2013'!$A$2:$F$126,5)</f>
        <v>23.15</v>
      </c>
      <c r="N15">
        <f>VLOOKUP(I15,'ST 2013'!$A$2:$F$126,6)</f>
        <v>3.13</v>
      </c>
      <c r="O15">
        <v>2013</v>
      </c>
    </row>
    <row r="16" spans="1:15" x14ac:dyDescent="0.2">
      <c r="A16" s="6" t="s">
        <v>66</v>
      </c>
      <c r="B16" s="7">
        <v>65</v>
      </c>
      <c r="C16" s="6">
        <v>22.04</v>
      </c>
      <c r="D16" s="6">
        <v>6</v>
      </c>
      <c r="E16" s="6">
        <v>18.079999999999998</v>
      </c>
      <c r="F16" s="28">
        <v>7.91</v>
      </c>
      <c r="H16">
        <v>15</v>
      </c>
      <c r="I16" t="s">
        <v>12</v>
      </c>
      <c r="J16">
        <f>VLOOKUP(I16,'ST 2013'!$A$2:$F$126,2)</f>
        <v>80</v>
      </c>
      <c r="K16">
        <f>VLOOKUP(I16,'ST 2013'!$A$2:$F$126,3)</f>
        <v>22.71</v>
      </c>
      <c r="L16">
        <f>VLOOKUP(I16,'ST 2013'!$A$2:$F$126,4)</f>
        <v>7.63</v>
      </c>
      <c r="M16">
        <f>VLOOKUP(I16,'ST 2013'!$A$2:$F$126,5)</f>
        <v>22.65</v>
      </c>
      <c r="N16">
        <f>VLOOKUP(I16,'ST 2013'!$A$2:$F$126,6)</f>
        <v>1.1499999999999999</v>
      </c>
      <c r="O16">
        <v>2013</v>
      </c>
    </row>
    <row r="17" spans="1:15" x14ac:dyDescent="0.2">
      <c r="A17" s="9" t="s">
        <v>122</v>
      </c>
      <c r="B17" s="10">
        <v>80.8</v>
      </c>
      <c r="C17" s="9">
        <v>24.73</v>
      </c>
      <c r="D17" s="9">
        <v>9.31</v>
      </c>
      <c r="E17" s="9">
        <v>25.07</v>
      </c>
      <c r="F17" s="29">
        <v>7.79</v>
      </c>
      <c r="H17">
        <v>16</v>
      </c>
      <c r="I17" t="s">
        <v>31</v>
      </c>
      <c r="J17">
        <f>VLOOKUP(I17,'ST 2013'!$A$2:$F$126,2)</f>
        <v>66.7</v>
      </c>
      <c r="K17">
        <f>VLOOKUP(I17,'ST 2013'!$A$2:$F$126,3)</f>
        <v>24.85</v>
      </c>
      <c r="L17">
        <f>VLOOKUP(I17,'ST 2013'!$A$2:$F$126,4)</f>
        <v>8.92</v>
      </c>
      <c r="M17">
        <f>VLOOKUP(I17,'ST 2013'!$A$2:$F$126,5)</f>
        <v>18.670000000000002</v>
      </c>
      <c r="N17">
        <f>VLOOKUP(I17,'ST 2013'!$A$2:$F$126,6)</f>
        <v>3.94</v>
      </c>
      <c r="O17">
        <v>2013</v>
      </c>
    </row>
    <row r="18" spans="1:15" x14ac:dyDescent="0.2">
      <c r="A18" s="6" t="s">
        <v>72</v>
      </c>
      <c r="B18" s="7">
        <v>85</v>
      </c>
      <c r="C18" s="6">
        <v>20.11</v>
      </c>
      <c r="D18" s="6">
        <v>2.59</v>
      </c>
      <c r="E18" s="6">
        <v>19</v>
      </c>
      <c r="F18" s="28">
        <v>20.18</v>
      </c>
      <c r="H18">
        <v>17</v>
      </c>
      <c r="I18" t="s">
        <v>2</v>
      </c>
      <c r="J18">
        <f>VLOOKUP(I18,'ST 2013'!$A$2:$F$126,2)</f>
        <v>61.1</v>
      </c>
      <c r="K18">
        <f>VLOOKUP(I18,'ST 2013'!$A$2:$F$126,3)</f>
        <v>22.92</v>
      </c>
      <c r="L18">
        <f>VLOOKUP(I18,'ST 2013'!$A$2:$F$126,4)</f>
        <v>13.43</v>
      </c>
      <c r="M18">
        <f>VLOOKUP(I18,'ST 2013'!$A$2:$F$126,5)</f>
        <v>18.739999999999998</v>
      </c>
      <c r="N18">
        <f>VLOOKUP(I18,'ST 2013'!$A$2:$F$126,6)</f>
        <v>10.47</v>
      </c>
      <c r="O18">
        <v>2013</v>
      </c>
    </row>
    <row r="19" spans="1:15" x14ac:dyDescent="0.2">
      <c r="A19" s="9" t="s">
        <v>54</v>
      </c>
      <c r="B19" s="10">
        <v>70.599999999999994</v>
      </c>
      <c r="C19" s="9">
        <v>23.23</v>
      </c>
      <c r="D19" s="9">
        <v>6.56</v>
      </c>
      <c r="E19" s="9">
        <v>19.809999999999999</v>
      </c>
      <c r="F19" s="29">
        <v>10.79</v>
      </c>
      <c r="H19">
        <v>18</v>
      </c>
      <c r="I19" t="s">
        <v>43</v>
      </c>
      <c r="J19">
        <f>VLOOKUP(I19,'ST 2013'!$A$2:$F$126,2)</f>
        <v>76.900000000000006</v>
      </c>
      <c r="K19">
        <f>VLOOKUP(I19,'ST 2013'!$A$2:$F$126,3)</f>
        <v>21.08</v>
      </c>
      <c r="L19">
        <f>VLOOKUP(I19,'ST 2013'!$A$2:$F$126,4)</f>
        <v>7.35</v>
      </c>
      <c r="M19">
        <f>VLOOKUP(I19,'ST 2013'!$A$2:$F$126,5)</f>
        <v>18.27</v>
      </c>
      <c r="N19">
        <f>VLOOKUP(I19,'ST 2013'!$A$2:$F$126,6)</f>
        <v>10.69</v>
      </c>
      <c r="O19">
        <v>2013</v>
      </c>
    </row>
    <row r="20" spans="1:15" x14ac:dyDescent="0.2">
      <c r="A20" s="6" t="s">
        <v>110</v>
      </c>
      <c r="B20" s="7">
        <v>41.2</v>
      </c>
      <c r="C20" s="6">
        <v>21.03</v>
      </c>
      <c r="D20" s="6">
        <v>5.59</v>
      </c>
      <c r="E20" s="6">
        <v>19.98</v>
      </c>
      <c r="F20" s="28">
        <v>15.47</v>
      </c>
      <c r="H20">
        <v>19</v>
      </c>
      <c r="I20" t="s">
        <v>26</v>
      </c>
      <c r="J20">
        <f>VLOOKUP(I20,'ST 2013'!$A$2:$F$126,2)</f>
        <v>68.2</v>
      </c>
      <c r="K20">
        <f>VLOOKUP(I20,'ST 2013'!$A$2:$F$126,3)</f>
        <v>14.42</v>
      </c>
      <c r="L20">
        <f>VLOOKUP(I20,'ST 2013'!$A$2:$F$126,4)</f>
        <v>13.71</v>
      </c>
      <c r="M20">
        <f>VLOOKUP(I20,'ST 2013'!$A$2:$F$126,5)</f>
        <v>19.88</v>
      </c>
      <c r="N20">
        <f>VLOOKUP(I20,'ST 2013'!$A$2:$F$126,6)</f>
        <v>7.47</v>
      </c>
      <c r="O20">
        <v>2013</v>
      </c>
    </row>
    <row r="21" spans="1:15" x14ac:dyDescent="0.2">
      <c r="A21" s="9" t="s">
        <v>24</v>
      </c>
      <c r="B21" s="10">
        <v>87.5</v>
      </c>
      <c r="C21" s="9">
        <v>18.79</v>
      </c>
      <c r="D21" s="9">
        <v>8.34</v>
      </c>
      <c r="E21" s="9">
        <v>19.440000000000001</v>
      </c>
      <c r="F21" s="29">
        <v>5.44</v>
      </c>
      <c r="H21">
        <v>20</v>
      </c>
      <c r="I21" t="s">
        <v>23</v>
      </c>
      <c r="J21">
        <f>VLOOKUP(I21,'ST 2013'!$A$2:$F$126,2)</f>
        <v>74.099999999999994</v>
      </c>
      <c r="K21">
        <f>VLOOKUP(I21,'ST 2013'!$A$2:$F$126,3)</f>
        <v>23.76</v>
      </c>
      <c r="L21">
        <f>VLOOKUP(I21,'ST 2013'!$A$2:$F$126,4)</f>
        <v>7.07</v>
      </c>
      <c r="M21">
        <f>VLOOKUP(I21,'ST 2013'!$A$2:$F$126,5)</f>
        <v>25.68</v>
      </c>
      <c r="N21">
        <f>VLOOKUP(I21,'ST 2013'!$A$2:$F$126,6)</f>
        <v>9.4700000000000006</v>
      </c>
      <c r="O21">
        <v>2013</v>
      </c>
    </row>
    <row r="22" spans="1:15" x14ac:dyDescent="0.2">
      <c r="A22" s="6" t="s">
        <v>77</v>
      </c>
      <c r="B22" s="7">
        <v>70.8</v>
      </c>
      <c r="C22" s="6">
        <v>22.6</v>
      </c>
      <c r="D22" s="6">
        <v>4.5999999999999996</v>
      </c>
      <c r="E22" s="6">
        <v>23.26</v>
      </c>
      <c r="F22" s="28">
        <v>9.1</v>
      </c>
      <c r="H22">
        <v>21</v>
      </c>
      <c r="I22" t="s">
        <v>38</v>
      </c>
      <c r="J22">
        <f>VLOOKUP(I22,'ST 2013'!$A$2:$F$126,2)</f>
        <v>83.3</v>
      </c>
      <c r="K22">
        <f>VLOOKUP(I22,'ST 2013'!$A$2:$F$126,3)</f>
        <v>21.56</v>
      </c>
      <c r="L22">
        <f>VLOOKUP(I22,'ST 2013'!$A$2:$F$126,4)</f>
        <v>5.72</v>
      </c>
      <c r="M22">
        <f>VLOOKUP(I22,'ST 2013'!$A$2:$F$126,5)</f>
        <v>21.33</v>
      </c>
      <c r="N22">
        <f>VLOOKUP(I22,'ST 2013'!$A$2:$F$126,6)</f>
        <v>10.050000000000001</v>
      </c>
      <c r="O22">
        <v>2013</v>
      </c>
    </row>
    <row r="23" spans="1:15" x14ac:dyDescent="0.2">
      <c r="A23" s="9" t="s">
        <v>30</v>
      </c>
      <c r="B23" s="10">
        <v>87.5</v>
      </c>
      <c r="C23" s="9">
        <v>23.8</v>
      </c>
      <c r="D23" s="9">
        <v>15.67</v>
      </c>
      <c r="E23" s="9">
        <v>20.78</v>
      </c>
      <c r="F23" s="29">
        <v>9.73</v>
      </c>
      <c r="H23">
        <v>22</v>
      </c>
      <c r="I23" t="s">
        <v>25</v>
      </c>
      <c r="J23">
        <f>VLOOKUP(I23,'ST 2013'!$A$2:$F$126,2)</f>
        <v>66.7</v>
      </c>
      <c r="K23">
        <f>VLOOKUP(I23,'ST 2013'!$A$2:$F$126,3)</f>
        <v>23.1</v>
      </c>
      <c r="L23">
        <f>VLOOKUP(I23,'ST 2013'!$A$2:$F$126,4)</f>
        <v>7.43</v>
      </c>
      <c r="M23">
        <f>VLOOKUP(I23,'ST 2013'!$A$2:$F$126,5)</f>
        <v>19.309999999999999</v>
      </c>
      <c r="N23">
        <f>VLOOKUP(I23,'ST 2013'!$A$2:$F$126,6)</f>
        <v>7.23</v>
      </c>
      <c r="O23">
        <v>2013</v>
      </c>
    </row>
    <row r="24" spans="1:15" x14ac:dyDescent="0.2">
      <c r="A24" s="6" t="s">
        <v>101</v>
      </c>
      <c r="B24" s="7">
        <v>62.5</v>
      </c>
      <c r="C24" s="6">
        <v>18.68</v>
      </c>
      <c r="D24" s="6">
        <v>3.1</v>
      </c>
      <c r="E24" s="6">
        <v>24.07</v>
      </c>
      <c r="F24" s="28">
        <v>7.04</v>
      </c>
      <c r="H24">
        <v>23</v>
      </c>
      <c r="I24" t="s">
        <v>85</v>
      </c>
      <c r="J24">
        <f>VLOOKUP(I24,'ST 2013'!$A$2:$F$126,2)</f>
        <v>68.400000000000006</v>
      </c>
      <c r="K24">
        <f>VLOOKUP(I24,'ST 2013'!$A$2:$F$126,3)</f>
        <v>24.72</v>
      </c>
      <c r="L24">
        <f>VLOOKUP(I24,'ST 2013'!$A$2:$F$126,4)</f>
        <v>14.59</v>
      </c>
      <c r="M24">
        <f>VLOOKUP(I24,'ST 2013'!$A$2:$F$126,5)</f>
        <v>20.61</v>
      </c>
      <c r="N24">
        <f>VLOOKUP(I24,'ST 2013'!$A$2:$F$126,6)</f>
        <v>10.85</v>
      </c>
      <c r="O24">
        <v>2013</v>
      </c>
    </row>
    <row r="25" spans="1:15" x14ac:dyDescent="0.2">
      <c r="A25" s="9" t="s">
        <v>85</v>
      </c>
      <c r="B25" s="10">
        <v>68.400000000000006</v>
      </c>
      <c r="C25" s="9">
        <v>24.72</v>
      </c>
      <c r="D25" s="9">
        <v>14.59</v>
      </c>
      <c r="E25" s="9">
        <v>20.61</v>
      </c>
      <c r="F25" s="29">
        <v>10.85</v>
      </c>
      <c r="H25">
        <v>24</v>
      </c>
      <c r="I25" t="s">
        <v>92</v>
      </c>
      <c r="J25">
        <f>VLOOKUP(I25,'ST 2013'!$A$2:$F$126,2)</f>
        <v>78.900000000000006</v>
      </c>
      <c r="K25">
        <f>VLOOKUP(I25,'ST 2013'!$A$2:$F$126,3)</f>
        <v>19.38</v>
      </c>
      <c r="L25">
        <f>VLOOKUP(I25,'ST 2013'!$A$2:$F$126,4)</f>
        <v>3.83</v>
      </c>
      <c r="M25">
        <f>VLOOKUP(I25,'ST 2013'!$A$2:$F$126,5)</f>
        <v>18.399999999999999</v>
      </c>
      <c r="N25">
        <f>VLOOKUP(I25,'ST 2013'!$A$2:$F$126,6)</f>
        <v>6.61</v>
      </c>
      <c r="O25">
        <v>2013</v>
      </c>
    </row>
    <row r="26" spans="1:15" x14ac:dyDescent="0.2">
      <c r="A26" s="6" t="s">
        <v>89</v>
      </c>
      <c r="B26" s="7">
        <v>61.5</v>
      </c>
      <c r="C26" s="6">
        <v>25.11</v>
      </c>
      <c r="D26" s="6">
        <v>10.27</v>
      </c>
      <c r="E26" s="6">
        <v>21.93</v>
      </c>
      <c r="F26" s="28">
        <v>6.86</v>
      </c>
      <c r="H26">
        <v>25</v>
      </c>
      <c r="I26" t="s">
        <v>17</v>
      </c>
      <c r="J26">
        <f>VLOOKUP(I26,'ST 2013'!$A$2:$F$126,2)</f>
        <v>93.8</v>
      </c>
      <c r="K26">
        <f>VLOOKUP(I26,'ST 2013'!$A$2:$F$126,3)</f>
        <v>23.26</v>
      </c>
      <c r="L26">
        <f>VLOOKUP(I26,'ST 2013'!$A$2:$F$126,4)</f>
        <v>5.21</v>
      </c>
      <c r="M26">
        <f>VLOOKUP(I26,'ST 2013'!$A$2:$F$126,5)</f>
        <v>24.26</v>
      </c>
      <c r="N26">
        <f>VLOOKUP(I26,'ST 2013'!$A$2:$F$126,6)</f>
        <v>5.37</v>
      </c>
      <c r="O26">
        <v>2013</v>
      </c>
    </row>
    <row r="27" spans="1:15" x14ac:dyDescent="0.2">
      <c r="A27" s="9" t="s">
        <v>81</v>
      </c>
      <c r="B27" s="10">
        <v>54.5</v>
      </c>
      <c r="C27" s="9">
        <v>18.940000000000001</v>
      </c>
      <c r="D27" s="9">
        <v>7.38</v>
      </c>
      <c r="E27" s="9">
        <v>22</v>
      </c>
      <c r="F27" s="29">
        <v>21.91</v>
      </c>
    </row>
    <row r="28" spans="1:15" x14ac:dyDescent="0.2">
      <c r="A28" s="6" t="s">
        <v>108</v>
      </c>
      <c r="B28" s="7">
        <v>54.5</v>
      </c>
      <c r="C28" s="6">
        <v>24.82</v>
      </c>
      <c r="D28" s="6">
        <v>10.36</v>
      </c>
      <c r="E28" s="6">
        <v>16.41</v>
      </c>
      <c r="F28" s="28">
        <v>3.77</v>
      </c>
    </row>
    <row r="29" spans="1:15" x14ac:dyDescent="0.2">
      <c r="A29" s="9" t="s">
        <v>9</v>
      </c>
      <c r="B29" s="10">
        <v>64.7</v>
      </c>
      <c r="C29" s="9">
        <v>21.48</v>
      </c>
      <c r="D29" s="9">
        <v>6.38</v>
      </c>
      <c r="E29" s="9">
        <v>24.68</v>
      </c>
      <c r="F29" s="29">
        <v>9.5399999999999991</v>
      </c>
    </row>
    <row r="30" spans="1:15" x14ac:dyDescent="0.2">
      <c r="A30" s="6" t="s">
        <v>95</v>
      </c>
      <c r="B30" s="7">
        <v>64.3</v>
      </c>
      <c r="C30" s="6">
        <v>21</v>
      </c>
      <c r="D30" s="6">
        <v>9</v>
      </c>
      <c r="E30" s="6">
        <v>25.47</v>
      </c>
      <c r="F30" s="28">
        <v>5.96</v>
      </c>
    </row>
    <row r="31" spans="1:15" x14ac:dyDescent="0.2">
      <c r="A31" s="9" t="s">
        <v>88</v>
      </c>
      <c r="B31" s="10">
        <v>95.5</v>
      </c>
      <c r="C31" s="9">
        <v>28.16</v>
      </c>
      <c r="D31" s="9">
        <v>10</v>
      </c>
      <c r="E31" s="9">
        <v>18.59</v>
      </c>
      <c r="F31" s="29">
        <v>16.93</v>
      </c>
    </row>
    <row r="32" spans="1:15" x14ac:dyDescent="0.2">
      <c r="A32" s="6" t="s">
        <v>73</v>
      </c>
      <c r="B32" s="7">
        <v>68.8</v>
      </c>
      <c r="C32" s="6">
        <v>18.61</v>
      </c>
      <c r="D32" s="6">
        <v>11.58</v>
      </c>
      <c r="E32" s="6">
        <v>23.38</v>
      </c>
      <c r="F32" s="28">
        <v>3</v>
      </c>
    </row>
    <row r="33" spans="1:6" x14ac:dyDescent="0.2">
      <c r="A33" s="9" t="s">
        <v>22</v>
      </c>
      <c r="B33" s="10">
        <v>92.3</v>
      </c>
      <c r="C33" s="9">
        <v>18.600000000000001</v>
      </c>
      <c r="D33" s="9">
        <v>2.92</v>
      </c>
      <c r="E33" s="9">
        <v>21.41</v>
      </c>
      <c r="F33" s="29">
        <v>4.3</v>
      </c>
    </row>
    <row r="34" spans="1:6" x14ac:dyDescent="0.2">
      <c r="A34" s="6" t="s">
        <v>114</v>
      </c>
      <c r="B34" s="7">
        <v>66.7</v>
      </c>
      <c r="C34" s="6">
        <v>20</v>
      </c>
      <c r="D34" s="6">
        <v>8.8800000000000008</v>
      </c>
      <c r="E34" s="6">
        <v>20.68</v>
      </c>
      <c r="F34" s="28">
        <v>15.31</v>
      </c>
    </row>
    <row r="35" spans="1:6" x14ac:dyDescent="0.2">
      <c r="A35" s="9" t="s">
        <v>71</v>
      </c>
      <c r="B35" s="10">
        <v>71.400000000000006</v>
      </c>
      <c r="C35" s="9">
        <v>22.03</v>
      </c>
      <c r="D35" s="9">
        <v>8.32</v>
      </c>
      <c r="E35" s="9">
        <v>21.51</v>
      </c>
      <c r="F35" s="29">
        <v>8.94</v>
      </c>
    </row>
    <row r="36" spans="1:6" x14ac:dyDescent="0.2">
      <c r="A36" s="6" t="s">
        <v>105</v>
      </c>
      <c r="B36" s="7">
        <v>53.8</v>
      </c>
      <c r="C36" s="6">
        <v>20.96</v>
      </c>
      <c r="D36" s="6">
        <v>7.44</v>
      </c>
      <c r="E36" s="6">
        <v>22.03</v>
      </c>
      <c r="F36" s="28">
        <v>4.04</v>
      </c>
    </row>
    <row r="37" spans="1:6" x14ac:dyDescent="0.2">
      <c r="A37" s="9" t="s">
        <v>67</v>
      </c>
      <c r="B37" s="10">
        <v>73.900000000000006</v>
      </c>
      <c r="C37" s="9">
        <v>25.26</v>
      </c>
      <c r="D37" s="9">
        <v>3.65</v>
      </c>
      <c r="E37" s="9">
        <v>21.5</v>
      </c>
      <c r="F37" s="29">
        <v>4.0599999999999996</v>
      </c>
    </row>
    <row r="38" spans="1:6" x14ac:dyDescent="0.2">
      <c r="A38" s="6" t="s">
        <v>115</v>
      </c>
      <c r="B38" s="7">
        <v>58.8</v>
      </c>
      <c r="C38" s="6">
        <v>20.65</v>
      </c>
      <c r="D38" s="6">
        <v>5.46</v>
      </c>
      <c r="E38" s="6">
        <v>30.31</v>
      </c>
      <c r="F38" s="28">
        <v>12.09</v>
      </c>
    </row>
    <row r="39" spans="1:6" x14ac:dyDescent="0.2">
      <c r="A39" s="9" t="s">
        <v>125</v>
      </c>
      <c r="B39" s="10">
        <v>70.599999999999994</v>
      </c>
      <c r="C39" s="9">
        <v>19.52</v>
      </c>
      <c r="D39" s="9">
        <v>12.95</v>
      </c>
      <c r="E39" s="9">
        <v>24.79</v>
      </c>
      <c r="F39" s="29">
        <v>5.85</v>
      </c>
    </row>
    <row r="40" spans="1:6" x14ac:dyDescent="0.2">
      <c r="A40" s="6" t="s">
        <v>76</v>
      </c>
      <c r="B40" s="7">
        <v>81.8</v>
      </c>
      <c r="C40" s="6">
        <v>21.04</v>
      </c>
      <c r="D40" s="6">
        <v>13</v>
      </c>
      <c r="E40" s="6">
        <v>17.86</v>
      </c>
      <c r="F40" s="28">
        <v>9.33</v>
      </c>
    </row>
    <row r="41" spans="1:6" x14ac:dyDescent="0.2">
      <c r="A41" s="9" t="s">
        <v>68</v>
      </c>
      <c r="B41" s="10">
        <v>72.7</v>
      </c>
      <c r="C41" s="9">
        <v>21.97</v>
      </c>
      <c r="D41" s="9">
        <v>14.04</v>
      </c>
      <c r="E41" s="9">
        <v>23.28</v>
      </c>
      <c r="F41" s="29">
        <v>4.9000000000000004</v>
      </c>
    </row>
    <row r="42" spans="1:6" x14ac:dyDescent="0.2">
      <c r="A42" s="6" t="s">
        <v>52</v>
      </c>
      <c r="B42" s="7">
        <v>65</v>
      </c>
      <c r="C42" s="6">
        <v>22.14</v>
      </c>
      <c r="D42" s="6">
        <v>8.9</v>
      </c>
      <c r="E42" s="6">
        <v>18.88</v>
      </c>
      <c r="F42" s="28">
        <v>11.38</v>
      </c>
    </row>
    <row r="43" spans="1:6" x14ac:dyDescent="0.2">
      <c r="A43" s="9" t="s">
        <v>118</v>
      </c>
      <c r="B43" s="10">
        <v>64.7</v>
      </c>
      <c r="C43" s="9">
        <v>21.07</v>
      </c>
      <c r="D43" s="9">
        <v>11.28</v>
      </c>
      <c r="E43" s="9">
        <v>22.36</v>
      </c>
      <c r="F43" s="29">
        <v>4.91</v>
      </c>
    </row>
    <row r="44" spans="1:6" x14ac:dyDescent="0.2">
      <c r="A44" s="6" t="s">
        <v>36</v>
      </c>
      <c r="B44" s="7">
        <v>77.8</v>
      </c>
      <c r="C44" s="6">
        <v>23.41</v>
      </c>
      <c r="D44" s="6">
        <v>12.5</v>
      </c>
      <c r="E44" s="6">
        <v>20.5</v>
      </c>
      <c r="F44" s="28">
        <v>12.8</v>
      </c>
    </row>
    <row r="45" spans="1:6" x14ac:dyDescent="0.2">
      <c r="A45" s="9" t="s">
        <v>127</v>
      </c>
      <c r="B45" s="10">
        <v>55.6</v>
      </c>
      <c r="C45" s="9">
        <v>17.420000000000002</v>
      </c>
      <c r="D45" s="9">
        <v>3.88</v>
      </c>
      <c r="E45" s="9">
        <v>21.95</v>
      </c>
      <c r="F45" s="29">
        <v>2.1800000000000002</v>
      </c>
    </row>
    <row r="46" spans="1:6" x14ac:dyDescent="0.2">
      <c r="A46" s="6" t="s">
        <v>86</v>
      </c>
      <c r="B46" s="7">
        <v>85.7</v>
      </c>
      <c r="C46" s="6">
        <v>21.19</v>
      </c>
      <c r="D46" s="6">
        <v>6.18</v>
      </c>
      <c r="E46" s="6">
        <v>19.8</v>
      </c>
      <c r="F46" s="28">
        <v>6.2</v>
      </c>
    </row>
    <row r="47" spans="1:6" x14ac:dyDescent="0.2">
      <c r="A47" s="9" t="s">
        <v>65</v>
      </c>
      <c r="B47" s="10">
        <v>78.3</v>
      </c>
      <c r="C47" s="9">
        <v>21.28</v>
      </c>
      <c r="D47" s="9">
        <v>4.4800000000000004</v>
      </c>
      <c r="E47" s="9">
        <v>19.739999999999998</v>
      </c>
      <c r="F47" s="29">
        <v>3.14</v>
      </c>
    </row>
    <row r="48" spans="1:6" x14ac:dyDescent="0.2">
      <c r="A48" s="6" t="s">
        <v>58</v>
      </c>
      <c r="B48" s="7">
        <v>64.3</v>
      </c>
      <c r="C48" s="6">
        <v>19.84</v>
      </c>
      <c r="D48" s="6">
        <v>10.47</v>
      </c>
      <c r="E48" s="6">
        <v>22.16</v>
      </c>
      <c r="F48" s="28">
        <v>14.27</v>
      </c>
    </row>
    <row r="49" spans="1:6" x14ac:dyDescent="0.2">
      <c r="A49" s="9" t="s">
        <v>21</v>
      </c>
      <c r="B49" s="10">
        <v>55.6</v>
      </c>
      <c r="C49" s="9">
        <v>18.37</v>
      </c>
      <c r="D49" s="9">
        <v>7.94</v>
      </c>
      <c r="E49" s="9">
        <v>19.14</v>
      </c>
      <c r="F49" s="29">
        <v>9.23</v>
      </c>
    </row>
    <row r="50" spans="1:6" x14ac:dyDescent="0.2">
      <c r="A50" s="6" t="s">
        <v>12</v>
      </c>
      <c r="B50" s="7">
        <v>80</v>
      </c>
      <c r="C50" s="6">
        <v>22.71</v>
      </c>
      <c r="D50" s="6">
        <v>7.63</v>
      </c>
      <c r="E50" s="6">
        <v>22.65</v>
      </c>
      <c r="F50" s="28">
        <v>1.1499999999999999</v>
      </c>
    </row>
    <row r="51" spans="1:6" x14ac:dyDescent="0.2">
      <c r="A51" s="9" t="s">
        <v>70</v>
      </c>
      <c r="B51" s="10">
        <v>92.9</v>
      </c>
      <c r="C51" s="9">
        <v>25.47</v>
      </c>
      <c r="D51" s="9">
        <v>7.48</v>
      </c>
      <c r="E51" s="9">
        <v>23.15</v>
      </c>
      <c r="F51" s="29">
        <v>3.13</v>
      </c>
    </row>
    <row r="52" spans="1:6" x14ac:dyDescent="0.2">
      <c r="A52" s="6" t="s">
        <v>78</v>
      </c>
      <c r="B52" s="7">
        <v>68.8</v>
      </c>
      <c r="C52" s="6">
        <v>23.85</v>
      </c>
      <c r="D52" s="6">
        <v>12.31</v>
      </c>
      <c r="E52" s="6">
        <v>19.48</v>
      </c>
      <c r="F52" s="28">
        <v>9.2899999999999991</v>
      </c>
    </row>
    <row r="53" spans="1:6" x14ac:dyDescent="0.2">
      <c r="A53" s="9" t="s">
        <v>97</v>
      </c>
      <c r="B53" s="10">
        <v>84</v>
      </c>
      <c r="C53" s="9">
        <v>22.84</v>
      </c>
      <c r="D53" s="9">
        <v>10.74</v>
      </c>
      <c r="E53" s="9">
        <v>20.16</v>
      </c>
      <c r="F53" s="29">
        <v>5.68</v>
      </c>
    </row>
    <row r="54" spans="1:6" x14ac:dyDescent="0.2">
      <c r="A54" s="6" t="s">
        <v>60</v>
      </c>
      <c r="B54" s="7">
        <v>63.2</v>
      </c>
      <c r="C54" s="6">
        <v>20.45</v>
      </c>
      <c r="D54" s="6">
        <v>12.25</v>
      </c>
      <c r="E54" s="6">
        <v>23.41</v>
      </c>
      <c r="F54" s="28">
        <v>5.4</v>
      </c>
    </row>
    <row r="55" spans="1:6" x14ac:dyDescent="0.2">
      <c r="A55" s="9" t="s">
        <v>1</v>
      </c>
      <c r="B55" s="10">
        <v>88.9</v>
      </c>
      <c r="C55" s="9">
        <v>23.15</v>
      </c>
      <c r="D55" s="9">
        <v>7.56</v>
      </c>
      <c r="E55" s="9">
        <v>21.07</v>
      </c>
      <c r="F55" s="29">
        <v>6.8</v>
      </c>
    </row>
    <row r="56" spans="1:6" x14ac:dyDescent="0.2">
      <c r="A56" s="6" t="s">
        <v>39</v>
      </c>
      <c r="B56" s="7">
        <v>76.5</v>
      </c>
      <c r="C56" s="6">
        <v>25.08</v>
      </c>
      <c r="D56" s="6">
        <v>11.3</v>
      </c>
      <c r="E56" s="6">
        <v>19.829999999999998</v>
      </c>
      <c r="F56" s="28">
        <v>12.25</v>
      </c>
    </row>
    <row r="57" spans="1:6" x14ac:dyDescent="0.2">
      <c r="A57" s="9" t="s">
        <v>93</v>
      </c>
      <c r="B57" s="10">
        <v>63.6</v>
      </c>
      <c r="C57" s="9">
        <v>18.63</v>
      </c>
      <c r="D57" s="9">
        <v>9.27</v>
      </c>
      <c r="E57" s="9">
        <v>14.24</v>
      </c>
      <c r="F57" s="29">
        <v>9.7100000000000009</v>
      </c>
    </row>
    <row r="58" spans="1:6" x14ac:dyDescent="0.2">
      <c r="A58" s="6" t="s">
        <v>84</v>
      </c>
      <c r="B58" s="7">
        <v>72</v>
      </c>
      <c r="C58" s="6">
        <v>22.12</v>
      </c>
      <c r="D58" s="6">
        <v>6.33</v>
      </c>
      <c r="E58" s="6">
        <v>23.29</v>
      </c>
      <c r="F58" s="28">
        <v>6.36</v>
      </c>
    </row>
    <row r="59" spans="1:6" x14ac:dyDescent="0.2">
      <c r="A59" s="9" t="s">
        <v>104</v>
      </c>
      <c r="B59" s="10">
        <v>86.4</v>
      </c>
      <c r="C59" s="9">
        <v>19.170000000000002</v>
      </c>
      <c r="D59" s="9">
        <v>9.81</v>
      </c>
      <c r="E59" s="9">
        <v>21.18</v>
      </c>
      <c r="F59" s="29">
        <v>6.67</v>
      </c>
    </row>
    <row r="60" spans="1:6" x14ac:dyDescent="0.2">
      <c r="A60" s="6" t="s">
        <v>91</v>
      </c>
      <c r="B60" s="7">
        <v>75</v>
      </c>
      <c r="C60" s="6">
        <v>21.61</v>
      </c>
      <c r="D60" s="6">
        <v>6.83</v>
      </c>
      <c r="E60" s="6">
        <v>23.64</v>
      </c>
      <c r="F60" s="28">
        <v>11.54</v>
      </c>
    </row>
    <row r="61" spans="1:6" x14ac:dyDescent="0.2">
      <c r="A61" s="9" t="s">
        <v>107</v>
      </c>
      <c r="B61" s="10">
        <v>77.8</v>
      </c>
      <c r="C61" s="9">
        <v>22.1</v>
      </c>
      <c r="D61" s="9">
        <v>8.9499999999999993</v>
      </c>
      <c r="E61" s="9">
        <v>20.57</v>
      </c>
      <c r="F61" s="29">
        <v>10.42</v>
      </c>
    </row>
    <row r="62" spans="1:6" x14ac:dyDescent="0.2">
      <c r="A62" s="6" t="s">
        <v>34</v>
      </c>
      <c r="B62" s="7">
        <v>66.7</v>
      </c>
      <c r="C62" s="6">
        <v>19.440000000000001</v>
      </c>
      <c r="D62" s="6">
        <v>7.06</v>
      </c>
      <c r="E62" s="6">
        <v>21.94</v>
      </c>
      <c r="F62" s="28">
        <v>8.2899999999999991</v>
      </c>
    </row>
    <row r="63" spans="1:6" x14ac:dyDescent="0.2">
      <c r="A63" s="9" t="s">
        <v>35</v>
      </c>
      <c r="B63" s="10">
        <v>47.6</v>
      </c>
      <c r="C63" s="9">
        <v>21.68</v>
      </c>
      <c r="D63" s="9">
        <v>3.63</v>
      </c>
      <c r="E63" s="9">
        <v>20.43</v>
      </c>
      <c r="F63" s="29">
        <v>6</v>
      </c>
    </row>
    <row r="64" spans="1:6" x14ac:dyDescent="0.2">
      <c r="A64" s="6" t="s">
        <v>10</v>
      </c>
      <c r="B64" s="7">
        <v>72</v>
      </c>
      <c r="C64" s="6">
        <v>23.07</v>
      </c>
      <c r="D64" s="6">
        <v>6.72</v>
      </c>
      <c r="E64" s="6">
        <v>22.37</v>
      </c>
      <c r="F64" s="28">
        <v>8.5</v>
      </c>
    </row>
    <row r="65" spans="1:6" x14ac:dyDescent="0.2">
      <c r="A65" s="9" t="s">
        <v>49</v>
      </c>
      <c r="B65" s="10">
        <v>78.599999999999994</v>
      </c>
      <c r="C65" s="9">
        <v>21.88</v>
      </c>
      <c r="D65" s="9">
        <v>7.4</v>
      </c>
      <c r="E65" s="9">
        <v>19.84</v>
      </c>
      <c r="F65" s="29">
        <v>4.7300000000000004</v>
      </c>
    </row>
    <row r="66" spans="1:6" x14ac:dyDescent="0.2">
      <c r="A66" s="6" t="s">
        <v>83</v>
      </c>
      <c r="B66" s="7">
        <v>92.9</v>
      </c>
      <c r="C66" s="6">
        <v>22.78</v>
      </c>
      <c r="D66" s="6">
        <v>3.04</v>
      </c>
      <c r="E66" s="6">
        <v>20.21</v>
      </c>
      <c r="F66" s="28">
        <v>8.07</v>
      </c>
    </row>
    <row r="67" spans="1:6" x14ac:dyDescent="0.2">
      <c r="A67" s="9" t="s">
        <v>69</v>
      </c>
      <c r="B67" s="10">
        <v>82.4</v>
      </c>
      <c r="C67" s="9">
        <v>17.89</v>
      </c>
      <c r="D67" s="9">
        <v>7.75</v>
      </c>
      <c r="E67" s="9">
        <v>20.6</v>
      </c>
      <c r="F67" s="29">
        <v>11.33</v>
      </c>
    </row>
    <row r="68" spans="1:6" x14ac:dyDescent="0.2">
      <c r="A68" s="6" t="s">
        <v>111</v>
      </c>
      <c r="B68" s="7">
        <v>66.7</v>
      </c>
      <c r="C68" s="6">
        <v>24.18</v>
      </c>
      <c r="D68" s="6">
        <v>4.62</v>
      </c>
      <c r="E68" s="6">
        <v>22.9</v>
      </c>
      <c r="F68" s="28">
        <v>11.83</v>
      </c>
    </row>
    <row r="69" spans="1:6" x14ac:dyDescent="0.2">
      <c r="A69" s="9" t="s">
        <v>50</v>
      </c>
      <c r="B69" s="10">
        <v>83.3</v>
      </c>
      <c r="C69" s="9">
        <v>17.399999999999999</v>
      </c>
      <c r="D69" s="9">
        <v>7.07</v>
      </c>
      <c r="E69" s="9">
        <v>23.85</v>
      </c>
      <c r="F69" s="29">
        <v>9.11</v>
      </c>
    </row>
    <row r="70" spans="1:6" x14ac:dyDescent="0.2">
      <c r="A70" s="6" t="s">
        <v>82</v>
      </c>
      <c r="B70" s="7">
        <v>73.7</v>
      </c>
      <c r="C70" s="6">
        <v>23.8</v>
      </c>
      <c r="D70" s="6">
        <v>18.13</v>
      </c>
      <c r="E70" s="6">
        <v>23.11</v>
      </c>
      <c r="F70" s="28">
        <v>2.89</v>
      </c>
    </row>
    <row r="71" spans="1:6" x14ac:dyDescent="0.2">
      <c r="A71" s="9" t="s">
        <v>46</v>
      </c>
      <c r="B71" s="10">
        <v>82.6</v>
      </c>
      <c r="C71" s="9">
        <v>18.98</v>
      </c>
      <c r="D71" s="9">
        <v>13.1</v>
      </c>
      <c r="E71" s="9">
        <v>25.92</v>
      </c>
      <c r="F71" s="29">
        <v>5.55</v>
      </c>
    </row>
    <row r="72" spans="1:6" x14ac:dyDescent="0.2">
      <c r="A72" s="6" t="s">
        <v>16</v>
      </c>
      <c r="B72" s="7">
        <v>62.5</v>
      </c>
      <c r="C72" s="6">
        <v>23.83</v>
      </c>
      <c r="D72" s="6">
        <v>14.28</v>
      </c>
      <c r="E72" s="6">
        <v>21.29</v>
      </c>
      <c r="F72" s="28">
        <v>6.14</v>
      </c>
    </row>
    <row r="73" spans="1:6" x14ac:dyDescent="0.2">
      <c r="A73" s="9" t="s">
        <v>51</v>
      </c>
      <c r="B73" s="10">
        <v>58.8</v>
      </c>
      <c r="C73" s="9">
        <v>21.87</v>
      </c>
      <c r="D73" s="9">
        <v>8.0500000000000007</v>
      </c>
      <c r="E73" s="9">
        <v>20.23</v>
      </c>
      <c r="F73" s="29">
        <v>6.43</v>
      </c>
    </row>
    <row r="74" spans="1:6" x14ac:dyDescent="0.2">
      <c r="A74" s="6" t="s">
        <v>55</v>
      </c>
      <c r="B74" s="7">
        <v>92</v>
      </c>
      <c r="C74" s="6">
        <v>21.73</v>
      </c>
      <c r="D74" s="6">
        <v>7.11</v>
      </c>
      <c r="E74" s="6">
        <v>19.28</v>
      </c>
      <c r="F74" s="28">
        <v>3.81</v>
      </c>
    </row>
    <row r="75" spans="1:6" x14ac:dyDescent="0.2">
      <c r="A75" s="9" t="s">
        <v>23</v>
      </c>
      <c r="B75" s="10">
        <v>74.099999999999994</v>
      </c>
      <c r="C75" s="9">
        <v>23.76</v>
      </c>
      <c r="D75" s="9">
        <v>7.07</v>
      </c>
      <c r="E75" s="9">
        <v>25.68</v>
      </c>
      <c r="F75" s="29">
        <v>9.4700000000000006</v>
      </c>
    </row>
    <row r="76" spans="1:6" x14ac:dyDescent="0.2">
      <c r="A76" s="6" t="s">
        <v>13</v>
      </c>
      <c r="B76" s="7">
        <v>75</v>
      </c>
      <c r="C76" s="6">
        <v>20.07</v>
      </c>
      <c r="D76" s="6">
        <v>9.6199999999999992</v>
      </c>
      <c r="E76" s="6">
        <v>17.86</v>
      </c>
      <c r="F76" s="28">
        <v>4.53</v>
      </c>
    </row>
    <row r="77" spans="1:6" x14ac:dyDescent="0.2">
      <c r="A77" s="9" t="s">
        <v>4</v>
      </c>
      <c r="B77" s="10">
        <v>90</v>
      </c>
      <c r="C77" s="9">
        <v>22.93</v>
      </c>
      <c r="D77" s="9">
        <v>8.1</v>
      </c>
      <c r="E77" s="9">
        <v>18.39</v>
      </c>
      <c r="F77" s="29">
        <v>16.43</v>
      </c>
    </row>
    <row r="78" spans="1:6" x14ac:dyDescent="0.2">
      <c r="A78" s="6" t="s">
        <v>3</v>
      </c>
      <c r="B78" s="7">
        <v>88.9</v>
      </c>
      <c r="C78" s="6">
        <v>22.38</v>
      </c>
      <c r="D78" s="6">
        <v>14.17</v>
      </c>
      <c r="E78" s="6">
        <v>23.28</v>
      </c>
      <c r="F78" s="28">
        <v>15.6</v>
      </c>
    </row>
    <row r="79" spans="1:6" x14ac:dyDescent="0.2">
      <c r="A79" s="9" t="s">
        <v>2</v>
      </c>
      <c r="B79" s="10">
        <v>61.1</v>
      </c>
      <c r="C79" s="9">
        <v>22.92</v>
      </c>
      <c r="D79" s="9">
        <v>13.43</v>
      </c>
      <c r="E79" s="9">
        <v>18.739999999999998</v>
      </c>
      <c r="F79" s="29">
        <v>10.47</v>
      </c>
    </row>
    <row r="80" spans="1:6" x14ac:dyDescent="0.2">
      <c r="A80" s="6" t="s">
        <v>18</v>
      </c>
      <c r="B80" s="7">
        <v>71.400000000000006</v>
      </c>
      <c r="C80" s="6">
        <v>21.69</v>
      </c>
      <c r="D80" s="6">
        <v>12.39</v>
      </c>
      <c r="E80" s="6">
        <v>21.65</v>
      </c>
      <c r="F80" s="28">
        <v>3.25</v>
      </c>
    </row>
    <row r="81" spans="1:6" x14ac:dyDescent="0.2">
      <c r="A81" s="9" t="s">
        <v>112</v>
      </c>
      <c r="B81" s="10">
        <v>70</v>
      </c>
      <c r="C81" s="9">
        <v>20.71</v>
      </c>
      <c r="D81" s="9">
        <v>5.72</v>
      </c>
      <c r="E81" s="9">
        <v>21.36</v>
      </c>
      <c r="F81" s="29">
        <v>6.77</v>
      </c>
    </row>
    <row r="82" spans="1:6" x14ac:dyDescent="0.2">
      <c r="A82" s="6" t="s">
        <v>6</v>
      </c>
      <c r="B82" s="7">
        <v>65.2</v>
      </c>
      <c r="C82" s="6">
        <v>19.14</v>
      </c>
      <c r="D82" s="6">
        <v>8</v>
      </c>
      <c r="E82" s="6">
        <v>24.2</v>
      </c>
      <c r="F82" s="28">
        <v>3.33</v>
      </c>
    </row>
    <row r="83" spans="1:6" x14ac:dyDescent="0.2">
      <c r="A83" s="9" t="s">
        <v>99</v>
      </c>
      <c r="B83" s="10">
        <v>77.8</v>
      </c>
      <c r="C83" s="9">
        <v>21.98</v>
      </c>
      <c r="D83" s="9">
        <v>10.56</v>
      </c>
      <c r="E83" s="9">
        <v>21.49</v>
      </c>
      <c r="F83" s="29">
        <v>16.25</v>
      </c>
    </row>
    <row r="84" spans="1:6" x14ac:dyDescent="0.2">
      <c r="A84" s="6" t="s">
        <v>96</v>
      </c>
      <c r="B84" s="7">
        <v>50</v>
      </c>
      <c r="C84" s="6">
        <v>23.04</v>
      </c>
      <c r="D84" s="6">
        <v>11.56</v>
      </c>
      <c r="E84" s="6">
        <v>24.52</v>
      </c>
      <c r="F84" s="28">
        <v>3.26</v>
      </c>
    </row>
    <row r="85" spans="1:6" x14ac:dyDescent="0.2">
      <c r="A85" s="9" t="s">
        <v>123</v>
      </c>
      <c r="B85" s="10">
        <v>66.7</v>
      </c>
      <c r="C85" s="9">
        <v>19.309999999999999</v>
      </c>
      <c r="D85" s="9">
        <v>6.29</v>
      </c>
      <c r="E85" s="9">
        <v>21.24</v>
      </c>
      <c r="F85" s="29">
        <v>9.26</v>
      </c>
    </row>
    <row r="86" spans="1:6" x14ac:dyDescent="0.2">
      <c r="A86" s="6" t="s">
        <v>119</v>
      </c>
      <c r="B86" s="7">
        <v>68.400000000000006</v>
      </c>
      <c r="C86" s="6">
        <v>22.49</v>
      </c>
      <c r="D86" s="6">
        <v>11.37</v>
      </c>
      <c r="E86" s="6">
        <v>18.47</v>
      </c>
      <c r="F86" s="28">
        <v>6.38</v>
      </c>
    </row>
    <row r="87" spans="1:6" x14ac:dyDescent="0.2">
      <c r="A87" s="9" t="s">
        <v>48</v>
      </c>
      <c r="B87" s="10">
        <v>50</v>
      </c>
      <c r="C87" s="9">
        <v>21.04</v>
      </c>
      <c r="D87" s="9">
        <v>11.16</v>
      </c>
      <c r="E87" s="9">
        <v>22.35</v>
      </c>
      <c r="F87" s="29">
        <v>7.92</v>
      </c>
    </row>
    <row r="88" spans="1:6" x14ac:dyDescent="0.2">
      <c r="A88" s="6" t="s">
        <v>124</v>
      </c>
      <c r="B88" s="7">
        <v>81.5</v>
      </c>
      <c r="C88" s="6">
        <v>18.5</v>
      </c>
      <c r="D88" s="6">
        <v>5.2</v>
      </c>
      <c r="E88" s="6">
        <v>22.18</v>
      </c>
      <c r="F88" s="28">
        <v>9.8800000000000008</v>
      </c>
    </row>
    <row r="89" spans="1:6" x14ac:dyDescent="0.2">
      <c r="A89" s="9" t="s">
        <v>7</v>
      </c>
      <c r="B89" s="10">
        <v>85.7</v>
      </c>
      <c r="C89" s="9">
        <v>19.3</v>
      </c>
      <c r="D89" s="9">
        <v>7.88</v>
      </c>
      <c r="E89" s="9">
        <v>21.76</v>
      </c>
      <c r="F89" s="29">
        <v>16</v>
      </c>
    </row>
    <row r="90" spans="1:6" x14ac:dyDescent="0.2">
      <c r="A90" s="6" t="s">
        <v>116</v>
      </c>
      <c r="B90" s="7">
        <v>78.3</v>
      </c>
      <c r="C90" s="6">
        <v>23</v>
      </c>
      <c r="D90" s="6">
        <v>6.12</v>
      </c>
      <c r="E90" s="6">
        <v>15.87</v>
      </c>
      <c r="F90" s="28">
        <v>7.91</v>
      </c>
    </row>
    <row r="91" spans="1:6" x14ac:dyDescent="0.2">
      <c r="A91" s="9" t="s">
        <v>98</v>
      </c>
      <c r="B91" s="10">
        <v>83.3</v>
      </c>
      <c r="C91" s="9">
        <v>19.690000000000001</v>
      </c>
      <c r="D91" s="9">
        <v>3.77</v>
      </c>
      <c r="E91" s="9">
        <v>22.45</v>
      </c>
      <c r="F91" s="29">
        <v>8.25</v>
      </c>
    </row>
    <row r="92" spans="1:6" x14ac:dyDescent="0.2">
      <c r="A92" s="6" t="s">
        <v>15</v>
      </c>
      <c r="B92" s="7">
        <v>78.3</v>
      </c>
      <c r="C92" s="6">
        <v>19.829999999999998</v>
      </c>
      <c r="D92" s="6">
        <v>14.14</v>
      </c>
      <c r="E92" s="6">
        <v>25.31</v>
      </c>
      <c r="F92" s="28">
        <v>5.31</v>
      </c>
    </row>
    <row r="93" spans="1:6" x14ac:dyDescent="0.2">
      <c r="A93" s="9" t="s">
        <v>47</v>
      </c>
      <c r="B93" s="10">
        <v>55</v>
      </c>
      <c r="C93" s="9">
        <v>19.72</v>
      </c>
      <c r="D93" s="9">
        <v>13.42</v>
      </c>
      <c r="E93" s="9">
        <v>20.53</v>
      </c>
      <c r="F93" s="29">
        <v>13.87</v>
      </c>
    </row>
    <row r="94" spans="1:6" x14ac:dyDescent="0.2">
      <c r="A94" s="6" t="s">
        <v>37</v>
      </c>
      <c r="B94" s="7">
        <v>76.900000000000006</v>
      </c>
      <c r="C94" s="6">
        <v>27.4</v>
      </c>
      <c r="D94" s="6">
        <v>8.17</v>
      </c>
      <c r="E94" s="6">
        <v>18.12</v>
      </c>
      <c r="F94" s="28">
        <v>7.14</v>
      </c>
    </row>
    <row r="95" spans="1:6" x14ac:dyDescent="0.2">
      <c r="A95" s="9" t="s">
        <v>75</v>
      </c>
      <c r="B95" s="10">
        <v>64.7</v>
      </c>
      <c r="C95" s="9">
        <v>19.510000000000002</v>
      </c>
      <c r="D95" s="9">
        <v>7.82</v>
      </c>
      <c r="E95" s="9">
        <v>16.89</v>
      </c>
      <c r="F95" s="29">
        <v>9</v>
      </c>
    </row>
    <row r="96" spans="1:6" x14ac:dyDescent="0.2">
      <c r="A96" s="6" t="s">
        <v>27</v>
      </c>
      <c r="B96" s="7">
        <v>77.8</v>
      </c>
      <c r="C96" s="6">
        <v>26.28</v>
      </c>
      <c r="D96" s="6">
        <v>11.5</v>
      </c>
      <c r="E96" s="6">
        <v>25.39</v>
      </c>
      <c r="F96" s="28">
        <v>10.76</v>
      </c>
    </row>
    <row r="97" spans="1:6" x14ac:dyDescent="0.2">
      <c r="A97" s="9" t="s">
        <v>90</v>
      </c>
      <c r="B97" s="10">
        <v>33.299999999999997</v>
      </c>
      <c r="C97" s="9">
        <v>19.72</v>
      </c>
      <c r="D97" s="9">
        <v>5</v>
      </c>
      <c r="E97" s="9">
        <v>21.28</v>
      </c>
      <c r="F97" s="29">
        <v>4.54</v>
      </c>
    </row>
    <row r="98" spans="1:6" x14ac:dyDescent="0.2">
      <c r="A98" s="6" t="s">
        <v>117</v>
      </c>
      <c r="B98" s="7">
        <v>82.4</v>
      </c>
      <c r="C98" s="6">
        <v>23.78</v>
      </c>
      <c r="D98" s="6">
        <v>8.94</v>
      </c>
      <c r="E98" s="6">
        <v>25.43</v>
      </c>
      <c r="F98" s="28">
        <v>9.91</v>
      </c>
    </row>
    <row r="99" spans="1:6" x14ac:dyDescent="0.2">
      <c r="A99" s="9" t="s">
        <v>61</v>
      </c>
      <c r="B99" s="10">
        <v>90.9</v>
      </c>
      <c r="C99" s="9">
        <v>21.02</v>
      </c>
      <c r="D99" s="9">
        <v>11.45</v>
      </c>
      <c r="E99" s="9">
        <v>24.95</v>
      </c>
      <c r="F99" s="29">
        <v>8.64</v>
      </c>
    </row>
    <row r="100" spans="1:6" x14ac:dyDescent="0.2">
      <c r="A100" s="6" t="s">
        <v>43</v>
      </c>
      <c r="B100" s="7">
        <v>76.900000000000006</v>
      </c>
      <c r="C100" s="6">
        <v>21.08</v>
      </c>
      <c r="D100" s="6">
        <v>7.35</v>
      </c>
      <c r="E100" s="6">
        <v>18.27</v>
      </c>
      <c r="F100" s="28">
        <v>10.69</v>
      </c>
    </row>
    <row r="101" spans="1:6" x14ac:dyDescent="0.2">
      <c r="A101" s="9" t="s">
        <v>121</v>
      </c>
      <c r="B101" s="10">
        <v>60</v>
      </c>
      <c r="C101" s="9">
        <v>23</v>
      </c>
      <c r="D101" s="9">
        <v>14.2</v>
      </c>
      <c r="E101" s="9">
        <v>21.94</v>
      </c>
      <c r="F101" s="29">
        <v>12.43</v>
      </c>
    </row>
    <row r="102" spans="1:6" x14ac:dyDescent="0.2">
      <c r="A102" s="6" t="s">
        <v>28</v>
      </c>
      <c r="B102" s="7">
        <v>85.2</v>
      </c>
      <c r="C102" s="6">
        <v>23.92</v>
      </c>
      <c r="D102" s="6">
        <v>6.84</v>
      </c>
      <c r="E102" s="6">
        <v>21.81</v>
      </c>
      <c r="F102" s="28">
        <v>10.82</v>
      </c>
    </row>
    <row r="103" spans="1:6" x14ac:dyDescent="0.2">
      <c r="A103" s="9" t="s">
        <v>14</v>
      </c>
      <c r="B103" s="10">
        <v>95</v>
      </c>
      <c r="C103" s="9">
        <v>18.23</v>
      </c>
      <c r="D103" s="9">
        <v>7.27</v>
      </c>
      <c r="E103" s="9">
        <v>20.6</v>
      </c>
      <c r="F103" s="29">
        <v>8.92</v>
      </c>
    </row>
    <row r="104" spans="1:6" x14ac:dyDescent="0.2">
      <c r="A104" s="6" t="s">
        <v>53</v>
      </c>
      <c r="B104" s="7">
        <v>73.3</v>
      </c>
      <c r="C104" s="6">
        <v>15.93</v>
      </c>
      <c r="D104" s="6">
        <v>12.42</v>
      </c>
      <c r="E104" s="6">
        <v>22.05</v>
      </c>
      <c r="F104" s="28">
        <v>8.59</v>
      </c>
    </row>
    <row r="105" spans="1:6" x14ac:dyDescent="0.2">
      <c r="A105" s="9" t="s">
        <v>74</v>
      </c>
      <c r="B105" s="10">
        <v>69.599999999999994</v>
      </c>
      <c r="C105" s="9">
        <v>20.2</v>
      </c>
      <c r="D105" s="9">
        <v>4.4000000000000004</v>
      </c>
      <c r="E105" s="9">
        <v>20.62</v>
      </c>
      <c r="F105" s="29">
        <v>7.8</v>
      </c>
    </row>
    <row r="106" spans="1:6" x14ac:dyDescent="0.2">
      <c r="A106" s="6" t="s">
        <v>59</v>
      </c>
      <c r="B106" s="7">
        <v>84.2</v>
      </c>
      <c r="C106" s="6">
        <v>22.93</v>
      </c>
      <c r="D106" s="6">
        <v>7</v>
      </c>
      <c r="E106" s="6">
        <v>23.73</v>
      </c>
      <c r="F106" s="28">
        <v>10.68</v>
      </c>
    </row>
    <row r="107" spans="1:6" x14ac:dyDescent="0.2">
      <c r="A107" s="9" t="s">
        <v>56</v>
      </c>
      <c r="B107" s="10">
        <v>66.7</v>
      </c>
      <c r="C107" s="9">
        <v>20.38</v>
      </c>
      <c r="D107" s="9">
        <v>11.7</v>
      </c>
      <c r="E107" s="9">
        <v>21.29</v>
      </c>
      <c r="F107" s="29">
        <v>7.9</v>
      </c>
    </row>
    <row r="108" spans="1:6" x14ac:dyDescent="0.2">
      <c r="A108" s="6" t="s">
        <v>0</v>
      </c>
      <c r="B108" s="7">
        <v>87.5</v>
      </c>
      <c r="C108" s="6">
        <v>22.51</v>
      </c>
      <c r="D108" s="6">
        <v>10.78</v>
      </c>
      <c r="E108" s="6">
        <v>20.309999999999999</v>
      </c>
      <c r="F108" s="28">
        <v>5.0599999999999996</v>
      </c>
    </row>
    <row r="109" spans="1:6" x14ac:dyDescent="0.2">
      <c r="A109" s="9" t="s">
        <v>31</v>
      </c>
      <c r="B109" s="10">
        <v>66.7</v>
      </c>
      <c r="C109" s="9">
        <v>24.85</v>
      </c>
      <c r="D109" s="9">
        <v>8.92</v>
      </c>
      <c r="E109" s="9">
        <v>18.670000000000002</v>
      </c>
      <c r="F109" s="29">
        <v>3.94</v>
      </c>
    </row>
    <row r="110" spans="1:6" x14ac:dyDescent="0.2">
      <c r="A110" s="6" t="s">
        <v>62</v>
      </c>
      <c r="B110" s="7">
        <v>52.6</v>
      </c>
      <c r="C110" s="6">
        <v>22.9</v>
      </c>
      <c r="D110" s="6">
        <v>3.25</v>
      </c>
      <c r="E110" s="6">
        <v>22.02</v>
      </c>
      <c r="F110" s="28">
        <v>9.65</v>
      </c>
    </row>
    <row r="111" spans="1:6" x14ac:dyDescent="0.2">
      <c r="A111" s="9" t="s">
        <v>26</v>
      </c>
      <c r="B111" s="10">
        <v>68.2</v>
      </c>
      <c r="C111" s="9">
        <v>14.42</v>
      </c>
      <c r="D111" s="9">
        <v>13.71</v>
      </c>
      <c r="E111" s="9">
        <v>19.88</v>
      </c>
      <c r="F111" s="29">
        <v>7.47</v>
      </c>
    </row>
    <row r="112" spans="1:6" x14ac:dyDescent="0.2">
      <c r="A112" s="6" t="s">
        <v>57</v>
      </c>
      <c r="B112" s="7">
        <v>85</v>
      </c>
      <c r="C112" s="6">
        <v>18.59</v>
      </c>
      <c r="D112" s="6">
        <v>9.81</v>
      </c>
      <c r="E112" s="6">
        <v>22.91</v>
      </c>
      <c r="F112" s="28">
        <v>6.74</v>
      </c>
    </row>
    <row r="113" spans="1:6" x14ac:dyDescent="0.2">
      <c r="A113" s="9" t="s">
        <v>44</v>
      </c>
      <c r="B113" s="10">
        <v>69.2</v>
      </c>
      <c r="C113" s="9">
        <v>22.46</v>
      </c>
      <c r="D113" s="9">
        <v>10.25</v>
      </c>
      <c r="E113" s="9">
        <v>17.579999999999998</v>
      </c>
      <c r="F113" s="29">
        <v>1.3</v>
      </c>
    </row>
    <row r="114" spans="1:6" x14ac:dyDescent="0.2">
      <c r="A114" s="6" t="s">
        <v>128</v>
      </c>
      <c r="B114" s="7">
        <v>46.7</v>
      </c>
      <c r="C114" s="6">
        <v>24.74</v>
      </c>
      <c r="D114" s="6">
        <v>5.44</v>
      </c>
      <c r="E114" s="6">
        <v>22.37</v>
      </c>
      <c r="F114" s="28">
        <v>5.09</v>
      </c>
    </row>
    <row r="115" spans="1:6" x14ac:dyDescent="0.2">
      <c r="A115" s="9" t="s">
        <v>102</v>
      </c>
      <c r="B115" s="10">
        <v>57.9</v>
      </c>
      <c r="C115" s="9">
        <v>20.97</v>
      </c>
      <c r="D115" s="9">
        <v>5.2</v>
      </c>
      <c r="E115" s="9">
        <v>22</v>
      </c>
      <c r="F115" s="29">
        <v>6.27</v>
      </c>
    </row>
    <row r="116" spans="1:6" x14ac:dyDescent="0.2">
      <c r="A116" s="6" t="s">
        <v>92</v>
      </c>
      <c r="B116" s="7">
        <v>78.900000000000006</v>
      </c>
      <c r="C116" s="6">
        <v>19.38</v>
      </c>
      <c r="D116" s="6">
        <v>3.83</v>
      </c>
      <c r="E116" s="6">
        <v>18.399999999999999</v>
      </c>
      <c r="F116" s="28">
        <v>6.61</v>
      </c>
    </row>
    <row r="117" spans="1:6" x14ac:dyDescent="0.2">
      <c r="A117" s="9" t="s">
        <v>100</v>
      </c>
      <c r="B117" s="10">
        <v>78.900000000000006</v>
      </c>
      <c r="C117" s="9">
        <v>18.57</v>
      </c>
      <c r="D117" s="9">
        <v>7.12</v>
      </c>
      <c r="E117" s="9">
        <v>22.37</v>
      </c>
      <c r="F117" s="29">
        <v>10.09</v>
      </c>
    </row>
    <row r="118" spans="1:6" x14ac:dyDescent="0.2">
      <c r="A118" s="6" t="s">
        <v>64</v>
      </c>
      <c r="B118" s="7">
        <v>57.7</v>
      </c>
      <c r="C118" s="6">
        <v>20.91</v>
      </c>
      <c r="D118" s="6">
        <v>4.68</v>
      </c>
      <c r="E118" s="6">
        <v>20.91</v>
      </c>
      <c r="F118" s="28">
        <v>11.64</v>
      </c>
    </row>
    <row r="119" spans="1:6" x14ac:dyDescent="0.2">
      <c r="A119" s="9" t="s">
        <v>32</v>
      </c>
      <c r="B119" s="10">
        <v>66.7</v>
      </c>
      <c r="C119" s="9">
        <v>17.43</v>
      </c>
      <c r="D119" s="9">
        <v>6</v>
      </c>
      <c r="E119" s="9">
        <v>22.81</v>
      </c>
      <c r="F119" s="29">
        <v>8.3000000000000007</v>
      </c>
    </row>
    <row r="120" spans="1:6" x14ac:dyDescent="0.2">
      <c r="A120" s="6" t="s">
        <v>17</v>
      </c>
      <c r="B120" s="7">
        <v>93.8</v>
      </c>
      <c r="C120" s="6">
        <v>23.26</v>
      </c>
      <c r="D120" s="6">
        <v>5.21</v>
      </c>
      <c r="E120" s="6">
        <v>24.26</v>
      </c>
      <c r="F120" s="28">
        <v>5.37</v>
      </c>
    </row>
    <row r="121" spans="1:6" x14ac:dyDescent="0.2">
      <c r="A121" s="9" t="s">
        <v>41</v>
      </c>
      <c r="B121" s="10">
        <v>80</v>
      </c>
      <c r="C121" s="9">
        <v>20.94</v>
      </c>
      <c r="D121" s="9">
        <v>8.9499999999999993</v>
      </c>
      <c r="E121" s="9">
        <v>20.04</v>
      </c>
      <c r="F121" s="29">
        <v>7</v>
      </c>
    </row>
    <row r="122" spans="1:6" x14ac:dyDescent="0.2">
      <c r="A122" s="6" t="s">
        <v>20</v>
      </c>
      <c r="B122" s="7">
        <v>73.900000000000006</v>
      </c>
      <c r="C122" s="6">
        <v>18.57</v>
      </c>
      <c r="D122" s="6">
        <v>3.21</v>
      </c>
      <c r="E122" s="6">
        <v>22.93</v>
      </c>
      <c r="F122" s="28">
        <v>5.07</v>
      </c>
    </row>
    <row r="123" spans="1:6" x14ac:dyDescent="0.2">
      <c r="A123" s="9" t="s">
        <v>80</v>
      </c>
      <c r="B123" s="10">
        <v>81.3</v>
      </c>
      <c r="C123" s="9">
        <v>18.850000000000001</v>
      </c>
      <c r="D123" s="9">
        <v>6.8</v>
      </c>
      <c r="E123" s="9">
        <v>20.09</v>
      </c>
      <c r="F123" s="29">
        <v>10.18</v>
      </c>
    </row>
    <row r="124" spans="1:6" x14ac:dyDescent="0.2">
      <c r="A124" s="6" t="s">
        <v>29</v>
      </c>
      <c r="B124" s="7">
        <v>80</v>
      </c>
      <c r="C124" s="6">
        <v>20</v>
      </c>
      <c r="D124" s="6">
        <v>8.09</v>
      </c>
      <c r="E124" s="6">
        <v>21.21</v>
      </c>
      <c r="F124" s="28">
        <v>11.5</v>
      </c>
    </row>
    <row r="125" spans="1:6" x14ac:dyDescent="0.2">
      <c r="A125" s="9" t="s">
        <v>25</v>
      </c>
      <c r="B125" s="10">
        <v>66.7</v>
      </c>
      <c r="C125" s="9">
        <v>23.1</v>
      </c>
      <c r="D125" s="9">
        <v>7.43</v>
      </c>
      <c r="E125" s="9">
        <v>19.309999999999999</v>
      </c>
      <c r="F125" s="29">
        <v>7.23</v>
      </c>
    </row>
    <row r="126" spans="1:6" x14ac:dyDescent="0.2">
      <c r="A126" s="23" t="s">
        <v>106</v>
      </c>
      <c r="B126" s="24">
        <v>57.1</v>
      </c>
      <c r="C126" s="23">
        <v>16.87</v>
      </c>
      <c r="D126" s="23">
        <v>5.1100000000000003</v>
      </c>
      <c r="E126" s="23">
        <v>21.7</v>
      </c>
      <c r="F126" s="31">
        <v>7.85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125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5.66406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40</v>
      </c>
      <c r="C2" s="6">
        <v>23.11</v>
      </c>
      <c r="D2" s="6">
        <v>7.6</v>
      </c>
      <c r="E2" s="6">
        <v>20.74</v>
      </c>
      <c r="F2" s="28">
        <v>6.56</v>
      </c>
      <c r="H2">
        <v>1</v>
      </c>
      <c r="I2" t="s">
        <v>11</v>
      </c>
      <c r="J2">
        <f>VLOOKUP(I2,'ST 2012'!$A$2:$F$125,2)</f>
        <v>75</v>
      </c>
      <c r="K2">
        <f>VLOOKUP(I2,'ST 2012'!$A$2:$F$125,3)</f>
        <v>23.95</v>
      </c>
      <c r="L2">
        <f>VLOOKUP(I2,'ST 2012'!$A$2:$F$125,4)</f>
        <v>9.91</v>
      </c>
      <c r="M2">
        <f>VLOOKUP(I2,'ST 2012'!$A$2:$F$125,5)</f>
        <v>21.57</v>
      </c>
      <c r="N2">
        <f>VLOOKUP(I2,'ST 2012'!$A$2:$F$125,6)</f>
        <v>6.5</v>
      </c>
      <c r="O2">
        <v>2012</v>
      </c>
    </row>
    <row r="3" spans="1:15" x14ac:dyDescent="0.2">
      <c r="A3" s="9" t="s">
        <v>103</v>
      </c>
      <c r="B3" s="10">
        <v>75</v>
      </c>
      <c r="C3" s="9">
        <v>16.559999999999999</v>
      </c>
      <c r="D3" s="9">
        <v>6.88</v>
      </c>
      <c r="E3" s="9">
        <v>16.03</v>
      </c>
      <c r="F3" s="29">
        <v>11.06</v>
      </c>
      <c r="H3">
        <v>2</v>
      </c>
      <c r="I3" t="s">
        <v>18</v>
      </c>
      <c r="J3">
        <f>VLOOKUP(I3,'ST 2012'!$A$2:$F$125,2)</f>
        <v>50</v>
      </c>
      <c r="K3">
        <f>VLOOKUP(I3,'ST 2012'!$A$2:$F$125,3)</f>
        <v>19.420000000000002</v>
      </c>
      <c r="L3">
        <f>VLOOKUP(I3,'ST 2012'!$A$2:$F$125,4)</f>
        <v>13.5</v>
      </c>
      <c r="M3">
        <f>VLOOKUP(I3,'ST 2012'!$A$2:$F$125,5)</f>
        <v>21.66</v>
      </c>
      <c r="N3">
        <f>VLOOKUP(I3,'ST 2012'!$A$2:$F$125,6)</f>
        <v>3.24</v>
      </c>
      <c r="O3">
        <v>2012</v>
      </c>
    </row>
    <row r="4" spans="1:15" x14ac:dyDescent="0.2">
      <c r="A4" s="6" t="s">
        <v>11</v>
      </c>
      <c r="B4" s="7">
        <v>75</v>
      </c>
      <c r="C4" s="6">
        <v>23.95</v>
      </c>
      <c r="D4" s="6">
        <v>9.91</v>
      </c>
      <c r="E4" s="6">
        <v>21.57</v>
      </c>
      <c r="F4" s="28">
        <v>6.5</v>
      </c>
      <c r="H4">
        <v>3</v>
      </c>
      <c r="I4" t="s">
        <v>4</v>
      </c>
      <c r="J4">
        <f>VLOOKUP(I4,'ST 2012'!$A$2:$F$125,2)</f>
        <v>72.7</v>
      </c>
      <c r="K4">
        <f>VLOOKUP(I4,'ST 2012'!$A$2:$F$125,3)</f>
        <v>19.93</v>
      </c>
      <c r="L4">
        <f>VLOOKUP(I4,'ST 2012'!$A$2:$F$125,4)</f>
        <v>10.37</v>
      </c>
      <c r="M4">
        <f>VLOOKUP(I4,'ST 2012'!$A$2:$F$125,5)</f>
        <v>20.77</v>
      </c>
      <c r="N4">
        <f>VLOOKUP(I4,'ST 2012'!$A$2:$F$125,6)</f>
        <v>6.4</v>
      </c>
      <c r="O4">
        <v>2012</v>
      </c>
    </row>
    <row r="5" spans="1:15" x14ac:dyDescent="0.2">
      <c r="A5" s="9" t="s">
        <v>5</v>
      </c>
      <c r="B5" s="10">
        <v>70</v>
      </c>
      <c r="C5" s="9">
        <v>19.309999999999999</v>
      </c>
      <c r="D5" s="9">
        <v>10.63</v>
      </c>
      <c r="E5" s="9">
        <v>18.38</v>
      </c>
      <c r="F5" s="29">
        <v>7.67</v>
      </c>
      <c r="H5">
        <v>4</v>
      </c>
      <c r="I5" t="s">
        <v>23</v>
      </c>
      <c r="J5">
        <f>VLOOKUP(I5,'ST 2012'!$A$2:$F$125,2)</f>
        <v>75</v>
      </c>
      <c r="K5">
        <f>VLOOKUP(I5,'ST 2012'!$A$2:$F$125,3)</f>
        <v>19.600000000000001</v>
      </c>
      <c r="L5">
        <f>VLOOKUP(I5,'ST 2012'!$A$2:$F$125,4)</f>
        <v>2.19</v>
      </c>
      <c r="M5">
        <f>VLOOKUP(I5,'ST 2012'!$A$2:$F$125,5)</f>
        <v>22.13</v>
      </c>
      <c r="N5">
        <f>VLOOKUP(I5,'ST 2012'!$A$2:$F$125,6)</f>
        <v>6.73</v>
      </c>
      <c r="O5">
        <v>2012</v>
      </c>
    </row>
    <row r="6" spans="1:15" x14ac:dyDescent="0.2">
      <c r="A6" s="6" t="s">
        <v>38</v>
      </c>
      <c r="B6" s="7">
        <v>65.2</v>
      </c>
      <c r="C6" s="6">
        <v>22.38</v>
      </c>
      <c r="D6" s="6">
        <v>8.15</v>
      </c>
      <c r="E6" s="6">
        <v>21.92</v>
      </c>
      <c r="F6" s="28">
        <v>10.08</v>
      </c>
      <c r="H6">
        <v>5</v>
      </c>
      <c r="I6" t="s">
        <v>22</v>
      </c>
      <c r="J6">
        <f>VLOOKUP(I6,'ST 2012'!$A$2:$F$125,2)</f>
        <v>57.1</v>
      </c>
      <c r="K6">
        <f>VLOOKUP(I6,'ST 2012'!$A$2:$F$125,3)</f>
        <v>22.16</v>
      </c>
      <c r="L6">
        <f>VLOOKUP(I6,'ST 2012'!$A$2:$F$125,4)</f>
        <v>7.52</v>
      </c>
      <c r="M6">
        <f>VLOOKUP(I6,'ST 2012'!$A$2:$F$125,5)</f>
        <v>20.2</v>
      </c>
      <c r="N6">
        <f>VLOOKUP(I6,'ST 2012'!$A$2:$F$125,6)</f>
        <v>11.14</v>
      </c>
      <c r="O6">
        <v>2012</v>
      </c>
    </row>
    <row r="7" spans="1:15" x14ac:dyDescent="0.2">
      <c r="A7" s="9" t="s">
        <v>63</v>
      </c>
      <c r="B7" s="10">
        <v>65</v>
      </c>
      <c r="C7" s="9">
        <v>18.260000000000002</v>
      </c>
      <c r="D7" s="9">
        <v>5.9</v>
      </c>
      <c r="E7" s="9">
        <v>21.16</v>
      </c>
      <c r="F7" s="29">
        <v>6.08</v>
      </c>
      <c r="H7">
        <v>6</v>
      </c>
      <c r="I7" t="s">
        <v>43</v>
      </c>
      <c r="J7">
        <f>VLOOKUP(I7,'ST 2012'!$A$2:$F$125,2)</f>
        <v>59.1</v>
      </c>
      <c r="K7">
        <f>VLOOKUP(I7,'ST 2012'!$A$2:$F$125,3)</f>
        <v>19.91</v>
      </c>
      <c r="L7">
        <f>VLOOKUP(I7,'ST 2012'!$A$2:$F$125,4)</f>
        <v>13.29</v>
      </c>
      <c r="M7">
        <f>VLOOKUP(I7,'ST 2012'!$A$2:$F$125,5)</f>
        <v>18.63</v>
      </c>
      <c r="N7">
        <f>VLOOKUP(I7,'ST 2012'!$A$2:$F$125,6)</f>
        <v>5.38</v>
      </c>
      <c r="O7">
        <v>2012</v>
      </c>
    </row>
    <row r="8" spans="1:15" x14ac:dyDescent="0.2">
      <c r="A8" s="6" t="s">
        <v>8</v>
      </c>
      <c r="B8" s="7">
        <v>81</v>
      </c>
      <c r="C8" s="6">
        <v>19.239999999999998</v>
      </c>
      <c r="D8" s="6">
        <v>4.2699999999999996</v>
      </c>
      <c r="E8" s="6">
        <v>19</v>
      </c>
      <c r="F8" s="28">
        <v>6.11</v>
      </c>
      <c r="H8">
        <v>7</v>
      </c>
      <c r="I8" t="s">
        <v>37</v>
      </c>
      <c r="J8">
        <f>VLOOKUP(I8,'ST 2012'!$A$2:$F$125,2)</f>
        <v>63</v>
      </c>
      <c r="K8">
        <f>VLOOKUP(I8,'ST 2012'!$A$2:$F$125,3)</f>
        <v>22.71</v>
      </c>
      <c r="L8">
        <f>VLOOKUP(I8,'ST 2012'!$A$2:$F$125,4)</f>
        <v>11.96</v>
      </c>
      <c r="M8">
        <f>VLOOKUP(I8,'ST 2012'!$A$2:$F$125,5)</f>
        <v>18.260000000000002</v>
      </c>
      <c r="N8">
        <f>VLOOKUP(I8,'ST 2012'!$A$2:$F$125,6)</f>
        <v>6.77</v>
      </c>
      <c r="O8">
        <v>2012</v>
      </c>
    </row>
    <row r="9" spans="1:15" x14ac:dyDescent="0.2">
      <c r="A9" s="9" t="s">
        <v>42</v>
      </c>
      <c r="B9" s="10">
        <v>65</v>
      </c>
      <c r="C9" s="9">
        <v>19.91</v>
      </c>
      <c r="D9" s="9">
        <v>4.83</v>
      </c>
      <c r="E9" s="9">
        <v>25.18</v>
      </c>
      <c r="F9" s="29">
        <v>8</v>
      </c>
      <c r="H9">
        <v>8</v>
      </c>
      <c r="I9" t="s">
        <v>98</v>
      </c>
      <c r="J9">
        <f>VLOOKUP(I9,'ST 2012'!$A$2:$F$125,2)</f>
        <v>64.7</v>
      </c>
      <c r="K9">
        <f>VLOOKUP(I9,'ST 2012'!$A$2:$F$125,3)</f>
        <v>21.65</v>
      </c>
      <c r="L9">
        <f>VLOOKUP(I9,'ST 2012'!$A$2:$F$125,4)</f>
        <v>14.23</v>
      </c>
      <c r="M9">
        <f>VLOOKUP(I9,'ST 2012'!$A$2:$F$125,5)</f>
        <v>23.24</v>
      </c>
      <c r="N9">
        <f>VLOOKUP(I9,'ST 2012'!$A$2:$F$125,6)</f>
        <v>4.7300000000000004</v>
      </c>
      <c r="O9">
        <v>2012</v>
      </c>
    </row>
    <row r="10" spans="1:15" x14ac:dyDescent="0.2">
      <c r="A10" s="6" t="s">
        <v>19</v>
      </c>
      <c r="B10" s="7">
        <v>78.599999999999994</v>
      </c>
      <c r="C10" s="6">
        <v>22.44</v>
      </c>
      <c r="D10" s="6">
        <v>8.94</v>
      </c>
      <c r="E10" s="6">
        <v>16.64</v>
      </c>
      <c r="F10" s="28">
        <v>0.8</v>
      </c>
      <c r="H10">
        <v>9</v>
      </c>
      <c r="I10" t="s">
        <v>108</v>
      </c>
      <c r="J10">
        <f>VLOOKUP(I10,'ST 2012'!$A$2:$F$125,2)</f>
        <v>82.8</v>
      </c>
      <c r="K10">
        <f>VLOOKUP(I10,'ST 2012'!$A$2:$F$125,3)</f>
        <v>23.19</v>
      </c>
      <c r="L10">
        <f>VLOOKUP(I10,'ST 2012'!$A$2:$F$125,4)</f>
        <v>13.83</v>
      </c>
      <c r="M10">
        <f>VLOOKUP(I10,'ST 2012'!$A$2:$F$125,5)</f>
        <v>18</v>
      </c>
      <c r="N10">
        <f>VLOOKUP(I10,'ST 2012'!$A$2:$F$125,6)</f>
        <v>7.32</v>
      </c>
      <c r="O10">
        <v>2012</v>
      </c>
    </row>
    <row r="11" spans="1:15" x14ac:dyDescent="0.2">
      <c r="A11" s="9" t="s">
        <v>120</v>
      </c>
      <c r="B11" s="10">
        <v>78.099999999999994</v>
      </c>
      <c r="C11" s="9">
        <v>23.47</v>
      </c>
      <c r="D11" s="9">
        <v>11.06</v>
      </c>
      <c r="E11" s="9">
        <v>20.25</v>
      </c>
      <c r="F11" s="29">
        <v>1</v>
      </c>
      <c r="H11">
        <v>10</v>
      </c>
      <c r="I11" t="s">
        <v>88</v>
      </c>
      <c r="J11">
        <f>VLOOKUP(I11,'ST 2012'!$A$2:$F$125,2)</f>
        <v>83.3</v>
      </c>
      <c r="K11">
        <f>VLOOKUP(I11,'ST 2012'!$A$2:$F$125,3)</f>
        <v>24.65</v>
      </c>
      <c r="L11">
        <f>VLOOKUP(I11,'ST 2012'!$A$2:$F$125,4)</f>
        <v>14.49</v>
      </c>
      <c r="M11">
        <f>VLOOKUP(I11,'ST 2012'!$A$2:$F$125,5)</f>
        <v>16.62</v>
      </c>
      <c r="N11">
        <f>VLOOKUP(I11,'ST 2012'!$A$2:$F$125,6)</f>
        <v>10.88</v>
      </c>
      <c r="O11">
        <v>2012</v>
      </c>
    </row>
    <row r="12" spans="1:15" x14ac:dyDescent="0.2">
      <c r="A12" s="6" t="s">
        <v>94</v>
      </c>
      <c r="B12" s="7">
        <v>59.3</v>
      </c>
      <c r="C12" s="6">
        <v>21.2</v>
      </c>
      <c r="D12" s="6">
        <v>9.44</v>
      </c>
      <c r="E12" s="6">
        <v>22.53</v>
      </c>
      <c r="F12" s="28">
        <v>13.83</v>
      </c>
      <c r="H12">
        <v>11</v>
      </c>
      <c r="I12" t="s">
        <v>24</v>
      </c>
      <c r="J12">
        <f>VLOOKUP(I12,'ST 2012'!$A$2:$F$125,2)</f>
        <v>86.4</v>
      </c>
      <c r="K12">
        <f>VLOOKUP(I12,'ST 2012'!$A$2:$F$125,3)</f>
        <v>20.49</v>
      </c>
      <c r="L12">
        <f>VLOOKUP(I12,'ST 2012'!$A$2:$F$125,4)</f>
        <v>4.3</v>
      </c>
      <c r="M12">
        <f>VLOOKUP(I12,'ST 2012'!$A$2:$F$125,5)</f>
        <v>23.89</v>
      </c>
      <c r="N12">
        <f>VLOOKUP(I12,'ST 2012'!$A$2:$F$125,6)</f>
        <v>6.5</v>
      </c>
      <c r="O12">
        <v>2012</v>
      </c>
    </row>
    <row r="13" spans="1:15" x14ac:dyDescent="0.2">
      <c r="A13" s="9" t="s">
        <v>33</v>
      </c>
      <c r="B13" s="10">
        <v>75</v>
      </c>
      <c r="C13" s="9">
        <v>26</v>
      </c>
      <c r="D13" s="9">
        <v>10.41</v>
      </c>
      <c r="E13" s="9">
        <v>20.47</v>
      </c>
      <c r="F13" s="29">
        <v>5.85</v>
      </c>
      <c r="H13">
        <v>12</v>
      </c>
      <c r="I13" t="s">
        <v>36</v>
      </c>
      <c r="J13">
        <f>VLOOKUP(I13,'ST 2012'!$A$2:$F$125,2)</f>
        <v>82.6</v>
      </c>
      <c r="K13">
        <f>VLOOKUP(I13,'ST 2012'!$A$2:$F$125,3)</f>
        <v>28.61</v>
      </c>
      <c r="L13">
        <f>VLOOKUP(I13,'ST 2012'!$A$2:$F$125,4)</f>
        <v>18.95</v>
      </c>
      <c r="M13">
        <f>VLOOKUP(I13,'ST 2012'!$A$2:$F$125,5)</f>
        <v>24.19</v>
      </c>
      <c r="N13">
        <f>VLOOKUP(I13,'ST 2012'!$A$2:$F$125,6)</f>
        <v>2</v>
      </c>
      <c r="O13">
        <v>2012</v>
      </c>
    </row>
    <row r="14" spans="1:15" x14ac:dyDescent="0.2">
      <c r="A14" s="6" t="s">
        <v>79</v>
      </c>
      <c r="B14" s="7">
        <v>90</v>
      </c>
      <c r="C14" s="6">
        <v>17.53</v>
      </c>
      <c r="D14" s="6">
        <v>21.69</v>
      </c>
      <c r="E14" s="6">
        <v>19.84</v>
      </c>
      <c r="F14" s="28">
        <v>7.5</v>
      </c>
      <c r="H14">
        <v>13</v>
      </c>
      <c r="I14" t="s">
        <v>12</v>
      </c>
      <c r="J14">
        <f>VLOOKUP(I14,'ST 2012'!$A$2:$F$125,2)</f>
        <v>78.3</v>
      </c>
      <c r="K14">
        <f>VLOOKUP(I14,'ST 2012'!$A$2:$F$125,3)</f>
        <v>17.309999999999999</v>
      </c>
      <c r="L14">
        <f>VLOOKUP(I14,'ST 2012'!$A$2:$F$125,4)</f>
        <v>4.25</v>
      </c>
      <c r="M14">
        <f>VLOOKUP(I14,'ST 2012'!$A$2:$F$125,5)</f>
        <v>24.65</v>
      </c>
      <c r="N14">
        <f>VLOOKUP(I14,'ST 2012'!$A$2:$F$125,6)</f>
        <v>8.14</v>
      </c>
      <c r="O14">
        <v>2012</v>
      </c>
    </row>
    <row r="15" spans="1:15" x14ac:dyDescent="0.2">
      <c r="A15" s="9" t="s">
        <v>87</v>
      </c>
      <c r="B15" s="10">
        <v>52.9</v>
      </c>
      <c r="C15" s="9">
        <v>19.87</v>
      </c>
      <c r="D15" s="9">
        <v>10.26</v>
      </c>
      <c r="E15" s="9">
        <v>19.600000000000001</v>
      </c>
      <c r="F15" s="29">
        <v>5.55</v>
      </c>
      <c r="H15">
        <v>14</v>
      </c>
      <c r="I15" t="s">
        <v>70</v>
      </c>
      <c r="J15">
        <f>VLOOKUP(I15,'ST 2012'!$A$2:$F$125,2)</f>
        <v>72.400000000000006</v>
      </c>
      <c r="K15">
        <f>VLOOKUP(I15,'ST 2012'!$A$2:$F$125,3)</f>
        <v>24</v>
      </c>
      <c r="L15">
        <f>VLOOKUP(I15,'ST 2012'!$A$2:$F$125,4)</f>
        <v>9.08</v>
      </c>
      <c r="M15">
        <f>VLOOKUP(I15,'ST 2012'!$A$2:$F$125,5)</f>
        <v>18.059999999999999</v>
      </c>
      <c r="N15">
        <f>VLOOKUP(I15,'ST 2012'!$A$2:$F$125,6)</f>
        <v>3.47</v>
      </c>
      <c r="O15">
        <v>2012</v>
      </c>
    </row>
    <row r="16" spans="1:15" x14ac:dyDescent="0.2">
      <c r="A16" s="6" t="s">
        <v>66</v>
      </c>
      <c r="B16" s="7">
        <v>73.3</v>
      </c>
      <c r="C16" s="6">
        <v>18.89</v>
      </c>
      <c r="D16" s="6">
        <v>4.71</v>
      </c>
      <c r="E16" s="6">
        <v>23.82</v>
      </c>
      <c r="F16" s="28">
        <v>10.45</v>
      </c>
      <c r="H16">
        <v>15</v>
      </c>
      <c r="I16" t="s">
        <v>3</v>
      </c>
      <c r="J16">
        <f>VLOOKUP(I16,'ST 2012'!$A$2:$F$125,2)</f>
        <v>81</v>
      </c>
      <c r="K16">
        <f>VLOOKUP(I16,'ST 2012'!$A$2:$F$125,3)</f>
        <v>25.83</v>
      </c>
      <c r="L16">
        <f>VLOOKUP(I16,'ST 2012'!$A$2:$F$125,4)</f>
        <v>14.33</v>
      </c>
      <c r="M16">
        <f>VLOOKUP(I16,'ST 2012'!$A$2:$F$125,5)</f>
        <v>18.25</v>
      </c>
      <c r="N16">
        <f>VLOOKUP(I16,'ST 2012'!$A$2:$F$125,6)</f>
        <v>7.25</v>
      </c>
      <c r="O16">
        <v>2012</v>
      </c>
    </row>
    <row r="17" spans="1:15" x14ac:dyDescent="0.2">
      <c r="A17" s="9" t="s">
        <v>122</v>
      </c>
      <c r="B17" s="10">
        <v>55.6</v>
      </c>
      <c r="C17" s="9">
        <v>24.19</v>
      </c>
      <c r="D17" s="9">
        <v>8.6</v>
      </c>
      <c r="E17" s="9">
        <v>20.73</v>
      </c>
      <c r="F17" s="29">
        <v>6.6</v>
      </c>
      <c r="H17">
        <v>16</v>
      </c>
      <c r="I17" t="s">
        <v>44</v>
      </c>
      <c r="J17">
        <f>VLOOKUP(I17,'ST 2012'!$A$2:$F$125,2)</f>
        <v>70</v>
      </c>
      <c r="K17">
        <f>VLOOKUP(I17,'ST 2012'!$A$2:$F$125,3)</f>
        <v>21.47</v>
      </c>
      <c r="L17">
        <f>VLOOKUP(I17,'ST 2012'!$A$2:$F$125,4)</f>
        <v>10.27</v>
      </c>
      <c r="M17">
        <f>VLOOKUP(I17,'ST 2012'!$A$2:$F$125,5)</f>
        <v>21.69</v>
      </c>
      <c r="N17">
        <f>VLOOKUP(I17,'ST 2012'!$A$2:$F$125,6)</f>
        <v>8.2899999999999991</v>
      </c>
      <c r="O17">
        <v>2012</v>
      </c>
    </row>
    <row r="18" spans="1:15" x14ac:dyDescent="0.2">
      <c r="A18" s="6" t="s">
        <v>72</v>
      </c>
      <c r="B18" s="7">
        <v>69.599999999999994</v>
      </c>
      <c r="C18" s="6">
        <v>20.71</v>
      </c>
      <c r="D18" s="6">
        <v>11.37</v>
      </c>
      <c r="E18" s="6">
        <v>26.85</v>
      </c>
      <c r="F18" s="28">
        <v>9.6300000000000008</v>
      </c>
      <c r="H18">
        <v>17</v>
      </c>
      <c r="I18" t="s">
        <v>55</v>
      </c>
      <c r="J18">
        <f>VLOOKUP(I18,'ST 2012'!$A$2:$F$125,2)</f>
        <v>95.2</v>
      </c>
      <c r="K18">
        <f>VLOOKUP(I18,'ST 2012'!$A$2:$F$125,3)</f>
        <v>20.87</v>
      </c>
      <c r="L18">
        <f>VLOOKUP(I18,'ST 2012'!$A$2:$F$125,4)</f>
        <v>16.55</v>
      </c>
      <c r="M18">
        <f>VLOOKUP(I18,'ST 2012'!$A$2:$F$125,5)</f>
        <v>19.71</v>
      </c>
      <c r="N18">
        <f>VLOOKUP(I18,'ST 2012'!$A$2:$F$125,6)</f>
        <v>4.8600000000000003</v>
      </c>
      <c r="O18">
        <v>2012</v>
      </c>
    </row>
    <row r="19" spans="1:15" x14ac:dyDescent="0.2">
      <c r="A19" s="9" t="s">
        <v>54</v>
      </c>
      <c r="B19" s="10">
        <v>75</v>
      </c>
      <c r="C19" s="9">
        <v>22.48</v>
      </c>
      <c r="D19" s="9">
        <v>2.58</v>
      </c>
      <c r="E19" s="9">
        <v>19.64</v>
      </c>
      <c r="F19" s="29">
        <v>12.36</v>
      </c>
      <c r="H19">
        <v>18</v>
      </c>
      <c r="I19" t="s">
        <v>33</v>
      </c>
      <c r="J19">
        <f>VLOOKUP(I19,'ST 2012'!$A$2:$F$125,2)</f>
        <v>75</v>
      </c>
      <c r="K19">
        <f>VLOOKUP(I19,'ST 2012'!$A$2:$F$125,3)</f>
        <v>26</v>
      </c>
      <c r="L19">
        <f>VLOOKUP(I19,'ST 2012'!$A$2:$F$125,4)</f>
        <v>10.41</v>
      </c>
      <c r="M19">
        <f>VLOOKUP(I19,'ST 2012'!$A$2:$F$125,5)</f>
        <v>20.47</v>
      </c>
      <c r="N19">
        <f>VLOOKUP(I19,'ST 2012'!$A$2:$F$125,6)</f>
        <v>5.85</v>
      </c>
      <c r="O19">
        <v>2012</v>
      </c>
    </row>
    <row r="20" spans="1:15" x14ac:dyDescent="0.2">
      <c r="A20" s="6" t="s">
        <v>110</v>
      </c>
      <c r="B20" s="7">
        <v>77.3</v>
      </c>
      <c r="C20" s="6">
        <v>24.68</v>
      </c>
      <c r="D20" s="6">
        <v>9.69</v>
      </c>
      <c r="E20" s="6">
        <v>22.44</v>
      </c>
      <c r="F20" s="28">
        <v>7.54</v>
      </c>
      <c r="H20">
        <v>19</v>
      </c>
      <c r="I20" t="s">
        <v>61</v>
      </c>
      <c r="J20">
        <f>VLOOKUP(I20,'ST 2012'!$A$2:$F$125,2)</f>
        <v>57.9</v>
      </c>
      <c r="K20">
        <f>VLOOKUP(I20,'ST 2012'!$A$2:$F$125,3)</f>
        <v>23.16</v>
      </c>
      <c r="L20">
        <f>VLOOKUP(I20,'ST 2012'!$A$2:$F$125,4)</f>
        <v>8.7899999999999991</v>
      </c>
      <c r="M20">
        <f>VLOOKUP(I20,'ST 2012'!$A$2:$F$125,5)</f>
        <v>22.29</v>
      </c>
      <c r="N20">
        <f>VLOOKUP(I20,'ST 2012'!$A$2:$F$125,6)</f>
        <v>10.119999999999999</v>
      </c>
      <c r="O20">
        <v>2012</v>
      </c>
    </row>
    <row r="21" spans="1:15" x14ac:dyDescent="0.2">
      <c r="A21" s="9" t="s">
        <v>24</v>
      </c>
      <c r="B21" s="10">
        <v>86.4</v>
      </c>
      <c r="C21" s="9">
        <v>20.49</v>
      </c>
      <c r="D21" s="9">
        <v>4.3</v>
      </c>
      <c r="E21" s="9">
        <v>23.89</v>
      </c>
      <c r="F21" s="29">
        <v>6.5</v>
      </c>
      <c r="H21">
        <v>20</v>
      </c>
      <c r="I21" t="s">
        <v>112</v>
      </c>
      <c r="J21">
        <f>VLOOKUP(I21,'ST 2012'!$A$2:$F$125,2)</f>
        <v>88.9</v>
      </c>
      <c r="K21">
        <f>VLOOKUP(I21,'ST 2012'!$A$2:$F$125,3)</f>
        <v>18.34</v>
      </c>
      <c r="L21">
        <f>VLOOKUP(I21,'ST 2012'!$A$2:$F$125,4)</f>
        <v>6.15</v>
      </c>
      <c r="M21">
        <f>VLOOKUP(I21,'ST 2012'!$A$2:$F$125,5)</f>
        <v>18.71</v>
      </c>
      <c r="N21">
        <f>VLOOKUP(I21,'ST 2012'!$A$2:$F$125,6)</f>
        <v>7.07</v>
      </c>
      <c r="O21">
        <v>2012</v>
      </c>
    </row>
    <row r="22" spans="1:15" x14ac:dyDescent="0.2">
      <c r="A22" s="6" t="s">
        <v>77</v>
      </c>
      <c r="B22" s="7">
        <v>75</v>
      </c>
      <c r="C22" s="6">
        <v>21.02</v>
      </c>
      <c r="D22" s="6">
        <v>5.56</v>
      </c>
      <c r="E22" s="6">
        <v>27.87</v>
      </c>
      <c r="F22" s="28">
        <v>8.6999999999999993</v>
      </c>
      <c r="H22">
        <v>21</v>
      </c>
      <c r="I22" t="s">
        <v>124</v>
      </c>
      <c r="J22">
        <f>VLOOKUP(I22,'ST 2012'!$A$2:$F$125,2)</f>
        <v>94.7</v>
      </c>
      <c r="K22">
        <f>VLOOKUP(I22,'ST 2012'!$A$2:$F$125,3)</f>
        <v>25.21</v>
      </c>
      <c r="L22">
        <f>VLOOKUP(I22,'ST 2012'!$A$2:$F$125,4)</f>
        <v>3.88</v>
      </c>
      <c r="M22">
        <f>VLOOKUP(I22,'ST 2012'!$A$2:$F$125,5)</f>
        <v>20.5</v>
      </c>
      <c r="N22">
        <f>VLOOKUP(I22,'ST 2012'!$A$2:$F$125,6)</f>
        <v>9.4</v>
      </c>
      <c r="O22">
        <v>2012</v>
      </c>
    </row>
    <row r="23" spans="1:15" x14ac:dyDescent="0.2">
      <c r="A23" s="9" t="s">
        <v>30</v>
      </c>
      <c r="B23" s="10">
        <v>90</v>
      </c>
      <c r="C23" s="9">
        <v>22.29</v>
      </c>
      <c r="D23" s="9">
        <v>9.4600000000000009</v>
      </c>
      <c r="E23" s="9">
        <v>23.47</v>
      </c>
      <c r="F23" s="29">
        <v>12.04</v>
      </c>
      <c r="H23">
        <v>22</v>
      </c>
      <c r="I23" t="s">
        <v>51</v>
      </c>
      <c r="J23">
        <f>VLOOKUP(I23,'ST 2012'!$A$2:$F$125,2)</f>
        <v>78.900000000000006</v>
      </c>
      <c r="K23">
        <f>VLOOKUP(I23,'ST 2012'!$A$2:$F$125,3)</f>
        <v>23.21</v>
      </c>
      <c r="L23">
        <f>VLOOKUP(I23,'ST 2012'!$A$2:$F$125,4)</f>
        <v>8.2200000000000006</v>
      </c>
      <c r="M23">
        <f>VLOOKUP(I23,'ST 2012'!$A$2:$F$125,5)</f>
        <v>17.41</v>
      </c>
      <c r="N23">
        <f>VLOOKUP(I23,'ST 2012'!$A$2:$F$125,6)</f>
        <v>2</v>
      </c>
      <c r="O23">
        <v>2012</v>
      </c>
    </row>
    <row r="24" spans="1:15" x14ac:dyDescent="0.2">
      <c r="A24" s="6" t="s">
        <v>101</v>
      </c>
      <c r="B24" s="7">
        <v>68.2</v>
      </c>
      <c r="C24" s="6">
        <v>19.57</v>
      </c>
      <c r="D24" s="6">
        <v>12.45</v>
      </c>
      <c r="E24" s="6">
        <v>22.53</v>
      </c>
      <c r="F24" s="28">
        <v>6.69</v>
      </c>
      <c r="H24">
        <v>23</v>
      </c>
      <c r="I24" t="s">
        <v>92</v>
      </c>
      <c r="J24">
        <f>VLOOKUP(I24,'ST 2012'!$A$2:$F$125,2)</f>
        <v>83.3</v>
      </c>
      <c r="K24">
        <f>VLOOKUP(I24,'ST 2012'!$A$2:$F$125,3)</f>
        <v>21.85</v>
      </c>
      <c r="L24">
        <f>VLOOKUP(I24,'ST 2012'!$A$2:$F$125,4)</f>
        <v>10.46</v>
      </c>
      <c r="M24">
        <f>VLOOKUP(I24,'ST 2012'!$A$2:$F$125,5)</f>
        <v>19.809999999999999</v>
      </c>
      <c r="N24">
        <f>VLOOKUP(I24,'ST 2012'!$A$2:$F$125,6)</f>
        <v>10.7</v>
      </c>
      <c r="O24">
        <v>2012</v>
      </c>
    </row>
    <row r="25" spans="1:15" x14ac:dyDescent="0.2">
      <c r="A25" s="9" t="s">
        <v>85</v>
      </c>
      <c r="B25" s="10">
        <v>87</v>
      </c>
      <c r="C25" s="9">
        <v>17.98</v>
      </c>
      <c r="D25" s="9">
        <v>14.92</v>
      </c>
      <c r="E25" s="9">
        <v>21.59</v>
      </c>
      <c r="F25" s="29">
        <v>12.92</v>
      </c>
      <c r="H25">
        <v>24</v>
      </c>
      <c r="I25" t="s">
        <v>84</v>
      </c>
      <c r="J25">
        <f>VLOOKUP(I25,'ST 2012'!$A$2:$F$125,2)</f>
        <v>85.7</v>
      </c>
      <c r="K25">
        <f>VLOOKUP(I25,'ST 2012'!$A$2:$F$125,3)</f>
        <v>22.05</v>
      </c>
      <c r="L25">
        <f>VLOOKUP(I25,'ST 2012'!$A$2:$F$125,4)</f>
        <v>8.81</v>
      </c>
      <c r="M25">
        <f>VLOOKUP(I25,'ST 2012'!$A$2:$F$125,5)</f>
        <v>23.25</v>
      </c>
      <c r="N25">
        <f>VLOOKUP(I25,'ST 2012'!$A$2:$F$125,6)</f>
        <v>10.15</v>
      </c>
      <c r="O25">
        <v>2012</v>
      </c>
    </row>
    <row r="26" spans="1:15" x14ac:dyDescent="0.2">
      <c r="A26" s="6" t="s">
        <v>89</v>
      </c>
      <c r="B26" s="7">
        <v>75</v>
      </c>
      <c r="C26" s="6">
        <v>19.84</v>
      </c>
      <c r="D26" s="6">
        <v>8.5500000000000007</v>
      </c>
      <c r="E26" s="6">
        <v>23.77</v>
      </c>
      <c r="F26" s="28">
        <v>9.9499999999999993</v>
      </c>
      <c r="H26">
        <v>25</v>
      </c>
      <c r="I26" t="s">
        <v>83</v>
      </c>
      <c r="J26">
        <f>VLOOKUP(I26,'ST 2012'!$A$2:$F$125,2)</f>
        <v>74.099999999999994</v>
      </c>
      <c r="K26">
        <f>VLOOKUP(I26,'ST 2012'!$A$2:$F$125,3)</f>
        <v>21.62</v>
      </c>
      <c r="L26">
        <f>VLOOKUP(I26,'ST 2012'!$A$2:$F$125,4)</f>
        <v>9.31</v>
      </c>
      <c r="M26">
        <f>VLOOKUP(I26,'ST 2012'!$A$2:$F$125,5)</f>
        <v>20.61</v>
      </c>
      <c r="N26">
        <f>VLOOKUP(I26,'ST 2012'!$A$2:$F$125,6)</f>
        <v>11.83</v>
      </c>
      <c r="O26">
        <v>2012</v>
      </c>
    </row>
    <row r="27" spans="1:15" x14ac:dyDescent="0.2">
      <c r="A27" s="9" t="s">
        <v>81</v>
      </c>
      <c r="B27" s="10">
        <v>83.3</v>
      </c>
      <c r="C27" s="9">
        <v>20.81</v>
      </c>
      <c r="D27" s="9">
        <v>5.22</v>
      </c>
      <c r="E27" s="9">
        <v>22.98</v>
      </c>
      <c r="F27" s="29">
        <v>8.18</v>
      </c>
    </row>
    <row r="28" spans="1:15" x14ac:dyDescent="0.2">
      <c r="A28" s="6" t="s">
        <v>108</v>
      </c>
      <c r="B28" s="7">
        <v>82.8</v>
      </c>
      <c r="C28" s="6">
        <v>23.19</v>
      </c>
      <c r="D28" s="6">
        <v>13.83</v>
      </c>
      <c r="E28" s="6">
        <v>18</v>
      </c>
      <c r="F28" s="28">
        <v>7.32</v>
      </c>
    </row>
    <row r="29" spans="1:15" x14ac:dyDescent="0.2">
      <c r="A29" s="9" t="s">
        <v>9</v>
      </c>
      <c r="B29" s="10">
        <v>47.1</v>
      </c>
      <c r="C29" s="9">
        <v>19.2</v>
      </c>
      <c r="D29" s="9">
        <v>6.5</v>
      </c>
      <c r="E29" s="9">
        <v>23.12</v>
      </c>
      <c r="F29" s="29">
        <v>8.06</v>
      </c>
    </row>
    <row r="30" spans="1:15" x14ac:dyDescent="0.2">
      <c r="A30" s="6" t="s">
        <v>95</v>
      </c>
      <c r="B30" s="7">
        <v>56.3</v>
      </c>
      <c r="C30" s="6">
        <v>24.37</v>
      </c>
      <c r="D30" s="6">
        <v>8.0399999999999991</v>
      </c>
      <c r="E30" s="6">
        <v>20.69</v>
      </c>
      <c r="F30" s="28">
        <v>10.32</v>
      </c>
    </row>
    <row r="31" spans="1:15" x14ac:dyDescent="0.2">
      <c r="A31" s="9" t="s">
        <v>88</v>
      </c>
      <c r="B31" s="10">
        <v>83.3</v>
      </c>
      <c r="C31" s="9">
        <v>24.65</v>
      </c>
      <c r="D31" s="9">
        <v>14.49</v>
      </c>
      <c r="E31" s="9">
        <v>16.62</v>
      </c>
      <c r="F31" s="29">
        <v>10.88</v>
      </c>
    </row>
    <row r="32" spans="1:15" x14ac:dyDescent="0.2">
      <c r="A32" s="6" t="s">
        <v>73</v>
      </c>
      <c r="B32" s="7">
        <v>80</v>
      </c>
      <c r="C32" s="6">
        <v>21.21</v>
      </c>
      <c r="D32" s="6">
        <v>9.1199999999999992</v>
      </c>
      <c r="E32" s="6">
        <v>19.670000000000002</v>
      </c>
      <c r="F32" s="28">
        <v>9.75</v>
      </c>
    </row>
    <row r="33" spans="1:6" x14ac:dyDescent="0.2">
      <c r="A33" s="9" t="s">
        <v>22</v>
      </c>
      <c r="B33" s="10">
        <v>57.1</v>
      </c>
      <c r="C33" s="9">
        <v>22.16</v>
      </c>
      <c r="D33" s="9">
        <v>7.52</v>
      </c>
      <c r="E33" s="9">
        <v>20.2</v>
      </c>
      <c r="F33" s="29">
        <v>11.14</v>
      </c>
    </row>
    <row r="34" spans="1:6" x14ac:dyDescent="0.2">
      <c r="A34" s="6" t="s">
        <v>71</v>
      </c>
      <c r="B34" s="7">
        <v>61.1</v>
      </c>
      <c r="C34" s="6">
        <v>23.86</v>
      </c>
      <c r="D34" s="6">
        <v>12.6</v>
      </c>
      <c r="E34" s="6">
        <v>23.77</v>
      </c>
      <c r="F34" s="28">
        <v>4.45</v>
      </c>
    </row>
    <row r="35" spans="1:6" x14ac:dyDescent="0.2">
      <c r="A35" s="9" t="s">
        <v>105</v>
      </c>
      <c r="B35" s="10">
        <v>61.9</v>
      </c>
      <c r="C35" s="9">
        <v>25.66</v>
      </c>
      <c r="D35" s="9">
        <v>12.84</v>
      </c>
      <c r="E35" s="9">
        <v>21.83</v>
      </c>
      <c r="F35" s="29">
        <v>11.67</v>
      </c>
    </row>
    <row r="36" spans="1:6" x14ac:dyDescent="0.2">
      <c r="A36" s="6" t="s">
        <v>67</v>
      </c>
      <c r="B36" s="7">
        <v>80</v>
      </c>
      <c r="C36" s="6">
        <v>19.54</v>
      </c>
      <c r="D36" s="6">
        <v>3.88</v>
      </c>
      <c r="E36" s="6">
        <v>21.39</v>
      </c>
      <c r="F36" s="28">
        <v>9.76</v>
      </c>
    </row>
    <row r="37" spans="1:6" x14ac:dyDescent="0.2">
      <c r="A37" s="9" t="s">
        <v>115</v>
      </c>
      <c r="B37" s="10">
        <v>76</v>
      </c>
      <c r="C37" s="9">
        <v>17.850000000000001</v>
      </c>
      <c r="D37" s="9">
        <v>1.59</v>
      </c>
      <c r="E37" s="9">
        <v>21.47</v>
      </c>
      <c r="F37" s="29">
        <v>7.11</v>
      </c>
    </row>
    <row r="38" spans="1:6" x14ac:dyDescent="0.2">
      <c r="A38" s="6" t="s">
        <v>125</v>
      </c>
      <c r="B38" s="7">
        <v>66.7</v>
      </c>
      <c r="C38" s="6">
        <v>18.829999999999998</v>
      </c>
      <c r="D38" s="6">
        <v>1.56</v>
      </c>
      <c r="E38" s="6">
        <v>23</v>
      </c>
      <c r="F38" s="28">
        <v>6.04</v>
      </c>
    </row>
    <row r="39" spans="1:6" x14ac:dyDescent="0.2">
      <c r="A39" s="9" t="s">
        <v>76</v>
      </c>
      <c r="B39" s="10">
        <v>75</v>
      </c>
      <c r="C39" s="9">
        <v>22.11</v>
      </c>
      <c r="D39" s="9">
        <v>5.93</v>
      </c>
      <c r="E39" s="9">
        <v>22.26</v>
      </c>
      <c r="F39" s="29">
        <v>4.53</v>
      </c>
    </row>
    <row r="40" spans="1:6" x14ac:dyDescent="0.2">
      <c r="A40" s="6" t="s">
        <v>68</v>
      </c>
      <c r="B40" s="7">
        <v>81</v>
      </c>
      <c r="C40" s="6">
        <v>22.38</v>
      </c>
      <c r="D40" s="6">
        <v>7.44</v>
      </c>
      <c r="E40" s="6">
        <v>19.43</v>
      </c>
      <c r="F40" s="28">
        <v>4.41</v>
      </c>
    </row>
    <row r="41" spans="1:6" x14ac:dyDescent="0.2">
      <c r="A41" s="9" t="s">
        <v>52</v>
      </c>
      <c r="B41" s="10">
        <v>66.7</v>
      </c>
      <c r="C41" s="9">
        <v>19.39</v>
      </c>
      <c r="D41" s="9">
        <v>12.1</v>
      </c>
      <c r="E41" s="9">
        <v>23.22</v>
      </c>
      <c r="F41" s="29">
        <v>7.59</v>
      </c>
    </row>
    <row r="42" spans="1:6" x14ac:dyDescent="0.2">
      <c r="A42" s="6" t="s">
        <v>118</v>
      </c>
      <c r="B42" s="7">
        <v>62.5</v>
      </c>
      <c r="C42" s="6">
        <v>19.5</v>
      </c>
      <c r="D42" s="6">
        <v>8.18</v>
      </c>
      <c r="E42" s="6">
        <v>21.77</v>
      </c>
      <c r="F42" s="28">
        <v>9.5500000000000007</v>
      </c>
    </row>
    <row r="43" spans="1:6" x14ac:dyDescent="0.2">
      <c r="A43" s="9" t="s">
        <v>36</v>
      </c>
      <c r="B43" s="10">
        <v>82.6</v>
      </c>
      <c r="C43" s="9">
        <v>28.61</v>
      </c>
      <c r="D43" s="9">
        <v>18.95</v>
      </c>
      <c r="E43" s="9">
        <v>24.19</v>
      </c>
      <c r="F43" s="29">
        <v>2</v>
      </c>
    </row>
    <row r="44" spans="1:6" x14ac:dyDescent="0.2">
      <c r="A44" s="6" t="s">
        <v>127</v>
      </c>
      <c r="B44" s="7">
        <v>73.099999999999994</v>
      </c>
      <c r="C44" s="6">
        <v>21.65</v>
      </c>
      <c r="D44" s="6">
        <v>5.78</v>
      </c>
      <c r="E44" s="6">
        <v>21</v>
      </c>
      <c r="F44" s="28">
        <v>4.37</v>
      </c>
    </row>
    <row r="45" spans="1:6" x14ac:dyDescent="0.2">
      <c r="A45" s="9" t="s">
        <v>86</v>
      </c>
      <c r="B45" s="10">
        <v>53.3</v>
      </c>
      <c r="C45" s="9">
        <v>21.02</v>
      </c>
      <c r="D45" s="9">
        <v>7.5</v>
      </c>
      <c r="E45" s="9">
        <v>21.33</v>
      </c>
      <c r="F45" s="29">
        <v>6</v>
      </c>
    </row>
    <row r="46" spans="1:6" x14ac:dyDescent="0.2">
      <c r="A46" s="6" t="s">
        <v>65</v>
      </c>
      <c r="B46" s="7">
        <v>66.7</v>
      </c>
      <c r="C46" s="6">
        <v>23.72</v>
      </c>
      <c r="D46" s="6">
        <v>4.71</v>
      </c>
      <c r="E46" s="6">
        <v>19.57</v>
      </c>
      <c r="F46" s="28">
        <v>7.64</v>
      </c>
    </row>
    <row r="47" spans="1:6" x14ac:dyDescent="0.2">
      <c r="A47" s="9" t="s">
        <v>58</v>
      </c>
      <c r="B47" s="10">
        <v>87</v>
      </c>
      <c r="C47" s="9">
        <v>18.32</v>
      </c>
      <c r="D47" s="9">
        <v>6.35</v>
      </c>
      <c r="E47" s="9">
        <v>18.72</v>
      </c>
      <c r="F47" s="29">
        <v>7.45</v>
      </c>
    </row>
    <row r="48" spans="1:6" x14ac:dyDescent="0.2">
      <c r="A48" s="6" t="s">
        <v>21</v>
      </c>
      <c r="B48" s="7">
        <v>55.6</v>
      </c>
      <c r="C48" s="6">
        <v>21.7</v>
      </c>
      <c r="D48" s="6">
        <v>6.48</v>
      </c>
      <c r="E48" s="6">
        <v>20.85</v>
      </c>
      <c r="F48" s="28">
        <v>6.69</v>
      </c>
    </row>
    <row r="49" spans="1:6" x14ac:dyDescent="0.2">
      <c r="A49" s="9" t="s">
        <v>12</v>
      </c>
      <c r="B49" s="10">
        <v>78.3</v>
      </c>
      <c r="C49" s="9">
        <v>17.309999999999999</v>
      </c>
      <c r="D49" s="9">
        <v>4.25</v>
      </c>
      <c r="E49" s="9">
        <v>24.65</v>
      </c>
      <c r="F49" s="29">
        <v>8.14</v>
      </c>
    </row>
    <row r="50" spans="1:6" x14ac:dyDescent="0.2">
      <c r="A50" s="6" t="s">
        <v>70</v>
      </c>
      <c r="B50" s="7">
        <v>72.400000000000006</v>
      </c>
      <c r="C50" s="6">
        <v>24</v>
      </c>
      <c r="D50" s="6">
        <v>9.08</v>
      </c>
      <c r="E50" s="6">
        <v>18.059999999999999</v>
      </c>
      <c r="F50" s="28">
        <v>3.47</v>
      </c>
    </row>
    <row r="51" spans="1:6" x14ac:dyDescent="0.2">
      <c r="A51" s="9" t="s">
        <v>78</v>
      </c>
      <c r="B51" s="10">
        <v>81.3</v>
      </c>
      <c r="C51" s="9">
        <v>19.88</v>
      </c>
      <c r="D51" s="9">
        <v>8.27</v>
      </c>
      <c r="E51" s="9">
        <v>25.14</v>
      </c>
      <c r="F51" s="29">
        <v>9.7799999999999994</v>
      </c>
    </row>
    <row r="52" spans="1:6" x14ac:dyDescent="0.2">
      <c r="A52" s="6" t="s">
        <v>97</v>
      </c>
      <c r="B52" s="7">
        <v>64.7</v>
      </c>
      <c r="C52" s="6">
        <v>23.93</v>
      </c>
      <c r="D52" s="6">
        <v>8.92</v>
      </c>
      <c r="E52" s="6">
        <v>20.89</v>
      </c>
      <c r="F52" s="28">
        <v>10.35</v>
      </c>
    </row>
    <row r="53" spans="1:6" x14ac:dyDescent="0.2">
      <c r="A53" s="9" t="s">
        <v>60</v>
      </c>
      <c r="B53" s="10">
        <v>76.900000000000006</v>
      </c>
      <c r="C53" s="9">
        <v>20</v>
      </c>
      <c r="D53" s="9">
        <v>7.7</v>
      </c>
      <c r="E53" s="9">
        <v>18.93</v>
      </c>
      <c r="F53" s="29">
        <v>14.21</v>
      </c>
    </row>
    <row r="54" spans="1:6" x14ac:dyDescent="0.2">
      <c r="A54" s="6" t="s">
        <v>1</v>
      </c>
      <c r="B54" s="7">
        <v>53.8</v>
      </c>
      <c r="C54" s="6">
        <v>22.84</v>
      </c>
      <c r="D54" s="6">
        <v>12</v>
      </c>
      <c r="E54" s="6">
        <v>18.8</v>
      </c>
      <c r="F54" s="28">
        <v>8.68</v>
      </c>
    </row>
    <row r="55" spans="1:6" x14ac:dyDescent="0.2">
      <c r="A55" s="9" t="s">
        <v>39</v>
      </c>
      <c r="B55" s="10">
        <v>76</v>
      </c>
      <c r="C55" s="9">
        <v>27.44</v>
      </c>
      <c r="D55" s="9">
        <v>6</v>
      </c>
      <c r="E55" s="9">
        <v>18.12</v>
      </c>
      <c r="F55" s="29">
        <v>10.6</v>
      </c>
    </row>
    <row r="56" spans="1:6" x14ac:dyDescent="0.2">
      <c r="A56" s="6" t="s">
        <v>93</v>
      </c>
      <c r="B56" s="7">
        <v>83.3</v>
      </c>
      <c r="C56" s="6">
        <v>19.2</v>
      </c>
      <c r="D56" s="6">
        <v>3.17</v>
      </c>
      <c r="E56" s="6">
        <v>21.22</v>
      </c>
      <c r="F56" s="28">
        <v>4.5199999999999996</v>
      </c>
    </row>
    <row r="57" spans="1:6" x14ac:dyDescent="0.2">
      <c r="A57" s="9" t="s">
        <v>84</v>
      </c>
      <c r="B57" s="10">
        <v>85.7</v>
      </c>
      <c r="C57" s="9">
        <v>22.05</v>
      </c>
      <c r="D57" s="9">
        <v>8.81</v>
      </c>
      <c r="E57" s="9">
        <v>23.25</v>
      </c>
      <c r="F57" s="29">
        <v>10.15</v>
      </c>
    </row>
    <row r="58" spans="1:6" x14ac:dyDescent="0.2">
      <c r="A58" s="6" t="s">
        <v>104</v>
      </c>
      <c r="B58" s="7">
        <v>71.900000000000006</v>
      </c>
      <c r="C58" s="6">
        <v>19.64</v>
      </c>
      <c r="D58" s="6">
        <v>9.0399999999999991</v>
      </c>
      <c r="E58" s="6">
        <v>24.21</v>
      </c>
      <c r="F58" s="28">
        <v>8.84</v>
      </c>
    </row>
    <row r="59" spans="1:6" x14ac:dyDescent="0.2">
      <c r="A59" s="9" t="s">
        <v>91</v>
      </c>
      <c r="B59" s="10">
        <v>77.3</v>
      </c>
      <c r="C59" s="9">
        <v>25.66</v>
      </c>
      <c r="D59" s="9">
        <v>3</v>
      </c>
      <c r="E59" s="9">
        <v>23.81</v>
      </c>
      <c r="F59" s="29">
        <v>5.89</v>
      </c>
    </row>
    <row r="60" spans="1:6" x14ac:dyDescent="0.2">
      <c r="A60" s="6" t="s">
        <v>107</v>
      </c>
      <c r="B60" s="7">
        <v>63.6</v>
      </c>
      <c r="C60" s="6">
        <v>20.54</v>
      </c>
      <c r="D60" s="6">
        <v>7.39</v>
      </c>
      <c r="E60" s="6">
        <v>20.21</v>
      </c>
      <c r="F60" s="28">
        <v>6.76</v>
      </c>
    </row>
    <row r="61" spans="1:6" x14ac:dyDescent="0.2">
      <c r="A61" s="9" t="s">
        <v>34</v>
      </c>
      <c r="B61" s="10">
        <v>64.3</v>
      </c>
      <c r="C61" s="9">
        <v>20.02</v>
      </c>
      <c r="D61" s="9">
        <v>5.58</v>
      </c>
      <c r="E61" s="9">
        <v>24.52</v>
      </c>
      <c r="F61" s="29">
        <v>7.88</v>
      </c>
    </row>
    <row r="62" spans="1:6" x14ac:dyDescent="0.2">
      <c r="A62" s="6" t="s">
        <v>35</v>
      </c>
      <c r="B62" s="7">
        <v>63.6</v>
      </c>
      <c r="C62" s="6">
        <v>22.62</v>
      </c>
      <c r="D62" s="6">
        <v>7.43</v>
      </c>
      <c r="E62" s="6">
        <v>19.850000000000001</v>
      </c>
      <c r="F62" s="28">
        <v>0.46</v>
      </c>
    </row>
    <row r="63" spans="1:6" x14ac:dyDescent="0.2">
      <c r="A63" s="9" t="s">
        <v>10</v>
      </c>
      <c r="B63" s="10">
        <v>70</v>
      </c>
      <c r="C63" s="9">
        <v>24.69</v>
      </c>
      <c r="D63" s="9">
        <v>15.04</v>
      </c>
      <c r="E63" s="9">
        <v>18.84</v>
      </c>
      <c r="F63" s="29">
        <v>9.48</v>
      </c>
    </row>
    <row r="64" spans="1:6" x14ac:dyDescent="0.2">
      <c r="A64" s="6" t="s">
        <v>49</v>
      </c>
      <c r="B64" s="7">
        <v>66.7</v>
      </c>
      <c r="C64" s="6">
        <v>23.5</v>
      </c>
      <c r="D64" s="6">
        <v>8.75</v>
      </c>
      <c r="E64" s="6">
        <v>22.14</v>
      </c>
      <c r="F64" s="28">
        <v>11.25</v>
      </c>
    </row>
    <row r="65" spans="1:6" x14ac:dyDescent="0.2">
      <c r="A65" s="9" t="s">
        <v>83</v>
      </c>
      <c r="B65" s="10">
        <v>74.099999999999994</v>
      </c>
      <c r="C65" s="9">
        <v>21.62</v>
      </c>
      <c r="D65" s="9">
        <v>9.31</v>
      </c>
      <c r="E65" s="9">
        <v>20.61</v>
      </c>
      <c r="F65" s="29">
        <v>11.83</v>
      </c>
    </row>
    <row r="66" spans="1:6" x14ac:dyDescent="0.2">
      <c r="A66" s="6" t="s">
        <v>69</v>
      </c>
      <c r="B66" s="7">
        <v>76.900000000000006</v>
      </c>
      <c r="C66" s="6">
        <v>20.72</v>
      </c>
      <c r="D66" s="6">
        <v>15.13</v>
      </c>
      <c r="E66" s="6">
        <v>23.11</v>
      </c>
      <c r="F66" s="28">
        <v>12.08</v>
      </c>
    </row>
    <row r="67" spans="1:6" x14ac:dyDescent="0.2">
      <c r="A67" s="9" t="s">
        <v>111</v>
      </c>
      <c r="B67" s="10">
        <v>69.2</v>
      </c>
      <c r="C67" s="9">
        <v>23.9</v>
      </c>
      <c r="D67" s="9">
        <v>5.86</v>
      </c>
      <c r="E67" s="9">
        <v>25.48</v>
      </c>
      <c r="F67" s="29">
        <v>4.6399999999999997</v>
      </c>
    </row>
    <row r="68" spans="1:6" x14ac:dyDescent="0.2">
      <c r="A68" s="6" t="s">
        <v>50</v>
      </c>
      <c r="B68" s="7">
        <v>33.299999999999997</v>
      </c>
      <c r="C68" s="6">
        <v>21.61</v>
      </c>
      <c r="D68" s="6">
        <v>1.25</v>
      </c>
      <c r="E68" s="6">
        <v>21.44</v>
      </c>
      <c r="F68" s="28">
        <v>12.34</v>
      </c>
    </row>
    <row r="69" spans="1:6" x14ac:dyDescent="0.2">
      <c r="A69" s="9" t="s">
        <v>82</v>
      </c>
      <c r="B69" s="10">
        <v>77.3</v>
      </c>
      <c r="C69" s="9">
        <v>23.24</v>
      </c>
      <c r="D69" s="9">
        <v>14.17</v>
      </c>
      <c r="E69" s="9">
        <v>23.52</v>
      </c>
      <c r="F69" s="29">
        <v>4.9400000000000004</v>
      </c>
    </row>
    <row r="70" spans="1:6" x14ac:dyDescent="0.2">
      <c r="A70" s="6" t="s">
        <v>46</v>
      </c>
      <c r="B70" s="7">
        <v>56.5</v>
      </c>
      <c r="C70" s="6">
        <v>23.44</v>
      </c>
      <c r="D70" s="6">
        <v>9.2899999999999991</v>
      </c>
      <c r="E70" s="6">
        <v>20.13</v>
      </c>
      <c r="F70" s="28">
        <v>8.69</v>
      </c>
    </row>
    <row r="71" spans="1:6" x14ac:dyDescent="0.2">
      <c r="A71" s="9" t="s">
        <v>16</v>
      </c>
      <c r="B71" s="10">
        <v>64.7</v>
      </c>
      <c r="C71" s="9">
        <v>19.18</v>
      </c>
      <c r="D71" s="9">
        <v>2.13</v>
      </c>
      <c r="E71" s="9">
        <v>26.54</v>
      </c>
      <c r="F71" s="29">
        <v>10</v>
      </c>
    </row>
    <row r="72" spans="1:6" x14ac:dyDescent="0.2">
      <c r="A72" s="6" t="s">
        <v>51</v>
      </c>
      <c r="B72" s="7">
        <v>78.900000000000006</v>
      </c>
      <c r="C72" s="6">
        <v>23.21</v>
      </c>
      <c r="D72" s="6">
        <v>8.2200000000000006</v>
      </c>
      <c r="E72" s="6">
        <v>17.41</v>
      </c>
      <c r="F72" s="28">
        <v>2</v>
      </c>
    </row>
    <row r="73" spans="1:6" x14ac:dyDescent="0.2">
      <c r="A73" s="9" t="s">
        <v>55</v>
      </c>
      <c r="B73" s="10">
        <v>95.2</v>
      </c>
      <c r="C73" s="9">
        <v>20.87</v>
      </c>
      <c r="D73" s="9">
        <v>16.55</v>
      </c>
      <c r="E73" s="9">
        <v>19.71</v>
      </c>
      <c r="F73" s="29">
        <v>4.8600000000000003</v>
      </c>
    </row>
    <row r="74" spans="1:6" x14ac:dyDescent="0.2">
      <c r="A74" s="6" t="s">
        <v>23</v>
      </c>
      <c r="B74" s="7">
        <v>75</v>
      </c>
      <c r="C74" s="6">
        <v>19.600000000000001</v>
      </c>
      <c r="D74" s="6">
        <v>2.19</v>
      </c>
      <c r="E74" s="6">
        <v>22.13</v>
      </c>
      <c r="F74" s="28">
        <v>6.73</v>
      </c>
    </row>
    <row r="75" spans="1:6" x14ac:dyDescent="0.2">
      <c r="A75" s="9" t="s">
        <v>13</v>
      </c>
      <c r="B75" s="10">
        <v>74.2</v>
      </c>
      <c r="C75" s="9">
        <v>21.51</v>
      </c>
      <c r="D75" s="9">
        <v>9.57</v>
      </c>
      <c r="E75" s="9">
        <v>22.04</v>
      </c>
      <c r="F75" s="29">
        <v>3.28</v>
      </c>
    </row>
    <row r="76" spans="1:6" x14ac:dyDescent="0.2">
      <c r="A76" s="6" t="s">
        <v>4</v>
      </c>
      <c r="B76" s="7">
        <v>72.7</v>
      </c>
      <c r="C76" s="6">
        <v>19.93</v>
      </c>
      <c r="D76" s="6">
        <v>10.37</v>
      </c>
      <c r="E76" s="6">
        <v>20.77</v>
      </c>
      <c r="F76" s="28">
        <v>6.4</v>
      </c>
    </row>
    <row r="77" spans="1:6" x14ac:dyDescent="0.2">
      <c r="A77" s="9" t="s">
        <v>3</v>
      </c>
      <c r="B77" s="10">
        <v>81</v>
      </c>
      <c r="C77" s="9">
        <v>25.83</v>
      </c>
      <c r="D77" s="9">
        <v>14.33</v>
      </c>
      <c r="E77" s="9">
        <v>18.25</v>
      </c>
      <c r="F77" s="29">
        <v>7.25</v>
      </c>
    </row>
    <row r="78" spans="1:6" x14ac:dyDescent="0.2">
      <c r="A78" s="6" t="s">
        <v>2</v>
      </c>
      <c r="B78" s="7">
        <v>82.4</v>
      </c>
      <c r="C78" s="6">
        <v>24.96</v>
      </c>
      <c r="D78" s="6">
        <v>11.44</v>
      </c>
      <c r="E78" s="6">
        <v>24.85</v>
      </c>
      <c r="F78" s="28">
        <v>12.31</v>
      </c>
    </row>
    <row r="79" spans="1:6" x14ac:dyDescent="0.2">
      <c r="A79" s="9" t="s">
        <v>18</v>
      </c>
      <c r="B79" s="10">
        <v>50</v>
      </c>
      <c r="C79" s="9">
        <v>19.420000000000002</v>
      </c>
      <c r="D79" s="9">
        <v>13.5</v>
      </c>
      <c r="E79" s="9">
        <v>21.66</v>
      </c>
      <c r="F79" s="29">
        <v>3.24</v>
      </c>
    </row>
    <row r="80" spans="1:6" x14ac:dyDescent="0.2">
      <c r="A80" s="6" t="s">
        <v>112</v>
      </c>
      <c r="B80" s="7">
        <v>88.9</v>
      </c>
      <c r="C80" s="6">
        <v>18.34</v>
      </c>
      <c r="D80" s="6">
        <v>6.15</v>
      </c>
      <c r="E80" s="6">
        <v>18.71</v>
      </c>
      <c r="F80" s="28">
        <v>7.07</v>
      </c>
    </row>
    <row r="81" spans="1:6" x14ac:dyDescent="0.2">
      <c r="A81" s="9" t="s">
        <v>6</v>
      </c>
      <c r="B81" s="10">
        <v>66.7</v>
      </c>
      <c r="C81" s="9">
        <v>18.07</v>
      </c>
      <c r="D81" s="9">
        <v>6.07</v>
      </c>
      <c r="E81" s="9">
        <v>23.1</v>
      </c>
      <c r="F81" s="29">
        <v>9.82</v>
      </c>
    </row>
    <row r="82" spans="1:6" x14ac:dyDescent="0.2">
      <c r="A82" s="6" t="s">
        <v>99</v>
      </c>
      <c r="B82" s="7">
        <v>74.099999999999994</v>
      </c>
      <c r="C82" s="6">
        <v>22.9</v>
      </c>
      <c r="D82" s="6">
        <v>10.27</v>
      </c>
      <c r="E82" s="6">
        <v>20.48</v>
      </c>
      <c r="F82" s="28">
        <v>13.1</v>
      </c>
    </row>
    <row r="83" spans="1:6" x14ac:dyDescent="0.2">
      <c r="A83" s="9" t="s">
        <v>96</v>
      </c>
      <c r="B83" s="10">
        <v>64.3</v>
      </c>
      <c r="C83" s="9">
        <v>22.93</v>
      </c>
      <c r="D83" s="9">
        <v>3.16</v>
      </c>
      <c r="E83" s="9">
        <v>21.44</v>
      </c>
      <c r="F83" s="29">
        <v>9.69</v>
      </c>
    </row>
    <row r="84" spans="1:6" x14ac:dyDescent="0.2">
      <c r="A84" s="6" t="s">
        <v>123</v>
      </c>
      <c r="B84" s="7">
        <v>79.3</v>
      </c>
      <c r="C84" s="6">
        <v>23.05</v>
      </c>
      <c r="D84" s="6">
        <v>5.1100000000000003</v>
      </c>
      <c r="E84" s="6">
        <v>20.78</v>
      </c>
      <c r="F84" s="28">
        <v>3.43</v>
      </c>
    </row>
    <row r="85" spans="1:6" x14ac:dyDescent="0.2">
      <c r="A85" s="9" t="s">
        <v>119</v>
      </c>
      <c r="B85" s="10">
        <v>57.9</v>
      </c>
      <c r="C85" s="9">
        <v>23.21</v>
      </c>
      <c r="D85" s="9">
        <v>4.67</v>
      </c>
      <c r="E85" s="9">
        <v>18.09</v>
      </c>
      <c r="F85" s="29">
        <v>6.8</v>
      </c>
    </row>
    <row r="86" spans="1:6" x14ac:dyDescent="0.2">
      <c r="A86" s="6" t="s">
        <v>48</v>
      </c>
      <c r="B86" s="7">
        <v>71.400000000000006</v>
      </c>
      <c r="C86" s="6">
        <v>23.93</v>
      </c>
      <c r="D86" s="6">
        <v>7.6</v>
      </c>
      <c r="E86" s="6">
        <v>24.36</v>
      </c>
      <c r="F86" s="28">
        <v>6.8</v>
      </c>
    </row>
    <row r="87" spans="1:6" x14ac:dyDescent="0.2">
      <c r="A87" s="9" t="s">
        <v>124</v>
      </c>
      <c r="B87" s="10">
        <v>94.7</v>
      </c>
      <c r="C87" s="9">
        <v>25.21</v>
      </c>
      <c r="D87" s="9">
        <v>3.88</v>
      </c>
      <c r="E87" s="9">
        <v>20.5</v>
      </c>
      <c r="F87" s="29">
        <v>9.4</v>
      </c>
    </row>
    <row r="88" spans="1:6" x14ac:dyDescent="0.2">
      <c r="A88" s="6" t="s">
        <v>7</v>
      </c>
      <c r="B88" s="7">
        <v>62.1</v>
      </c>
      <c r="C88" s="6">
        <v>23.07</v>
      </c>
      <c r="D88" s="6">
        <v>9.76</v>
      </c>
      <c r="E88" s="6">
        <v>20.85</v>
      </c>
      <c r="F88" s="28">
        <v>9.5299999999999994</v>
      </c>
    </row>
    <row r="89" spans="1:6" x14ac:dyDescent="0.2">
      <c r="A89" s="9" t="s">
        <v>116</v>
      </c>
      <c r="B89" s="10">
        <v>74.099999999999994</v>
      </c>
      <c r="C89" s="9">
        <v>20.83</v>
      </c>
      <c r="D89" s="9">
        <v>8.81</v>
      </c>
      <c r="E89" s="9">
        <v>23</v>
      </c>
      <c r="F89" s="29">
        <v>6.38</v>
      </c>
    </row>
    <row r="90" spans="1:6" x14ac:dyDescent="0.2">
      <c r="A90" s="6" t="s">
        <v>98</v>
      </c>
      <c r="B90" s="7">
        <v>64.7</v>
      </c>
      <c r="C90" s="6">
        <v>21.65</v>
      </c>
      <c r="D90" s="6">
        <v>14.23</v>
      </c>
      <c r="E90" s="6">
        <v>23.24</v>
      </c>
      <c r="F90" s="28">
        <v>4.7300000000000004</v>
      </c>
    </row>
    <row r="91" spans="1:6" x14ac:dyDescent="0.2">
      <c r="A91" s="9" t="s">
        <v>15</v>
      </c>
      <c r="B91" s="10">
        <v>78.3</v>
      </c>
      <c r="C91" s="9">
        <v>17.329999999999998</v>
      </c>
      <c r="D91" s="9">
        <v>6.65</v>
      </c>
      <c r="E91" s="9">
        <v>23.72</v>
      </c>
      <c r="F91" s="29">
        <v>7.5</v>
      </c>
    </row>
    <row r="92" spans="1:6" x14ac:dyDescent="0.2">
      <c r="A92" s="6" t="s">
        <v>47</v>
      </c>
      <c r="B92" s="7">
        <v>64.7</v>
      </c>
      <c r="C92" s="6">
        <v>21.45</v>
      </c>
      <c r="D92" s="6">
        <v>6.67</v>
      </c>
      <c r="E92" s="6">
        <v>25.41</v>
      </c>
      <c r="F92" s="28">
        <v>9.0500000000000007</v>
      </c>
    </row>
    <row r="93" spans="1:6" x14ac:dyDescent="0.2">
      <c r="A93" s="9" t="s">
        <v>37</v>
      </c>
      <c r="B93" s="10">
        <v>63</v>
      </c>
      <c r="C93" s="9">
        <v>22.71</v>
      </c>
      <c r="D93" s="9">
        <v>11.96</v>
      </c>
      <c r="E93" s="9">
        <v>18.260000000000002</v>
      </c>
      <c r="F93" s="29">
        <v>6.77</v>
      </c>
    </row>
    <row r="94" spans="1:6" x14ac:dyDescent="0.2">
      <c r="A94" s="6" t="s">
        <v>75</v>
      </c>
      <c r="B94" s="7">
        <v>65.2</v>
      </c>
      <c r="C94" s="6">
        <v>18.97</v>
      </c>
      <c r="D94" s="6">
        <v>4.0999999999999996</v>
      </c>
      <c r="E94" s="6">
        <v>16.27</v>
      </c>
      <c r="F94" s="28">
        <v>12</v>
      </c>
    </row>
    <row r="95" spans="1:6" x14ac:dyDescent="0.2">
      <c r="A95" s="9" t="s">
        <v>27</v>
      </c>
      <c r="B95" s="10">
        <v>73.3</v>
      </c>
      <c r="C95" s="9">
        <v>22.42</v>
      </c>
      <c r="D95" s="9">
        <v>12.38</v>
      </c>
      <c r="E95" s="9">
        <v>18.66</v>
      </c>
      <c r="F95" s="29">
        <v>9.3699999999999992</v>
      </c>
    </row>
    <row r="96" spans="1:6" x14ac:dyDescent="0.2">
      <c r="A96" s="6" t="s">
        <v>90</v>
      </c>
      <c r="B96" s="7">
        <v>82.4</v>
      </c>
      <c r="C96" s="6">
        <v>23.96</v>
      </c>
      <c r="D96" s="6">
        <v>10.039999999999999</v>
      </c>
      <c r="E96" s="6">
        <v>17.239999999999998</v>
      </c>
      <c r="F96" s="28">
        <v>5.08</v>
      </c>
    </row>
    <row r="97" spans="1:6" x14ac:dyDescent="0.2">
      <c r="A97" s="9" t="s">
        <v>117</v>
      </c>
      <c r="B97" s="10">
        <v>78.900000000000006</v>
      </c>
      <c r="C97" s="9">
        <v>20.12</v>
      </c>
      <c r="D97" s="9">
        <v>11.86</v>
      </c>
      <c r="E97" s="9">
        <v>20.63</v>
      </c>
      <c r="F97" s="29">
        <v>8.31</v>
      </c>
    </row>
    <row r="98" spans="1:6" x14ac:dyDescent="0.2">
      <c r="A98" s="6" t="s">
        <v>61</v>
      </c>
      <c r="B98" s="7">
        <v>57.9</v>
      </c>
      <c r="C98" s="6">
        <v>23.16</v>
      </c>
      <c r="D98" s="6">
        <v>8.7899999999999991</v>
      </c>
      <c r="E98" s="6">
        <v>22.29</v>
      </c>
      <c r="F98" s="28">
        <v>10.119999999999999</v>
      </c>
    </row>
    <row r="99" spans="1:6" x14ac:dyDescent="0.2">
      <c r="A99" s="9" t="s">
        <v>43</v>
      </c>
      <c r="B99" s="10">
        <v>59.1</v>
      </c>
      <c r="C99" s="9">
        <v>19.91</v>
      </c>
      <c r="D99" s="9">
        <v>13.29</v>
      </c>
      <c r="E99" s="9">
        <v>18.63</v>
      </c>
      <c r="F99" s="29">
        <v>5.38</v>
      </c>
    </row>
    <row r="100" spans="1:6" x14ac:dyDescent="0.2">
      <c r="A100" s="6" t="s">
        <v>121</v>
      </c>
      <c r="B100" s="7">
        <v>70.599999999999994</v>
      </c>
      <c r="C100" s="6">
        <v>25.11</v>
      </c>
      <c r="D100" s="6">
        <v>20.170000000000002</v>
      </c>
      <c r="E100" s="6">
        <v>21.59</v>
      </c>
      <c r="F100" s="28">
        <v>8.75</v>
      </c>
    </row>
    <row r="101" spans="1:6" x14ac:dyDescent="0.2">
      <c r="A101" s="9" t="s">
        <v>28</v>
      </c>
      <c r="B101" s="10">
        <v>72</v>
      </c>
      <c r="C101" s="9">
        <v>23.2</v>
      </c>
      <c r="D101" s="9">
        <v>10.35</v>
      </c>
      <c r="E101" s="9">
        <v>21</v>
      </c>
      <c r="F101" s="29">
        <v>11.83</v>
      </c>
    </row>
    <row r="102" spans="1:6" x14ac:dyDescent="0.2">
      <c r="A102" s="6" t="s">
        <v>14</v>
      </c>
      <c r="B102" s="7">
        <v>82.8</v>
      </c>
      <c r="C102" s="6">
        <v>22.08</v>
      </c>
      <c r="D102" s="6">
        <v>10.27</v>
      </c>
      <c r="E102" s="6">
        <v>20.12</v>
      </c>
      <c r="F102" s="28">
        <v>7.2</v>
      </c>
    </row>
    <row r="103" spans="1:6" x14ac:dyDescent="0.2">
      <c r="A103" s="9" t="s">
        <v>53</v>
      </c>
      <c r="B103" s="10">
        <v>81</v>
      </c>
      <c r="C103" s="9">
        <v>18.489999999999998</v>
      </c>
      <c r="D103" s="9">
        <v>7.83</v>
      </c>
      <c r="E103" s="9">
        <v>19.63</v>
      </c>
      <c r="F103" s="29">
        <v>2</v>
      </c>
    </row>
    <row r="104" spans="1:6" x14ac:dyDescent="0.2">
      <c r="A104" s="6" t="s">
        <v>74</v>
      </c>
      <c r="B104" s="7">
        <v>100</v>
      </c>
      <c r="C104" s="6">
        <v>19.25</v>
      </c>
      <c r="D104" s="6">
        <v>11.31</v>
      </c>
      <c r="E104" s="6">
        <v>22.74</v>
      </c>
      <c r="F104" s="28">
        <v>5.77</v>
      </c>
    </row>
    <row r="105" spans="1:6" x14ac:dyDescent="0.2">
      <c r="A105" s="9" t="s">
        <v>59</v>
      </c>
      <c r="B105" s="10">
        <v>66.7</v>
      </c>
      <c r="C105" s="9">
        <v>26.64</v>
      </c>
      <c r="D105" s="9">
        <v>8.19</v>
      </c>
      <c r="E105" s="9">
        <v>18.600000000000001</v>
      </c>
      <c r="F105" s="29">
        <v>9.83</v>
      </c>
    </row>
    <row r="106" spans="1:6" x14ac:dyDescent="0.2">
      <c r="A106" s="6" t="s">
        <v>56</v>
      </c>
      <c r="B106" s="7">
        <v>82.4</v>
      </c>
      <c r="C106" s="6">
        <v>20.82</v>
      </c>
      <c r="D106" s="6">
        <v>10.039999999999999</v>
      </c>
      <c r="E106" s="6">
        <v>25.5</v>
      </c>
      <c r="F106" s="28">
        <v>16.27</v>
      </c>
    </row>
    <row r="107" spans="1:6" x14ac:dyDescent="0.2">
      <c r="A107" s="9" t="s">
        <v>0</v>
      </c>
      <c r="B107" s="10">
        <v>71.400000000000006</v>
      </c>
      <c r="C107" s="9">
        <v>24.82</v>
      </c>
      <c r="D107" s="9">
        <v>10.64</v>
      </c>
      <c r="E107" s="9">
        <v>19.89</v>
      </c>
      <c r="F107" s="29">
        <v>9.44</v>
      </c>
    </row>
    <row r="108" spans="1:6" x14ac:dyDescent="0.2">
      <c r="A108" s="6" t="s">
        <v>31</v>
      </c>
      <c r="B108" s="7">
        <v>72.7</v>
      </c>
      <c r="C108" s="6">
        <v>22.12</v>
      </c>
      <c r="D108" s="6">
        <v>9.15</v>
      </c>
      <c r="E108" s="6">
        <v>21.86</v>
      </c>
      <c r="F108" s="28">
        <v>7.44</v>
      </c>
    </row>
    <row r="109" spans="1:6" x14ac:dyDescent="0.2">
      <c r="A109" s="9" t="s">
        <v>62</v>
      </c>
      <c r="B109" s="10">
        <v>85.7</v>
      </c>
      <c r="C109" s="9">
        <v>19.23</v>
      </c>
      <c r="D109" s="9">
        <v>6.06</v>
      </c>
      <c r="E109" s="9">
        <v>20.68</v>
      </c>
      <c r="F109" s="29">
        <v>12.57</v>
      </c>
    </row>
    <row r="110" spans="1:6" x14ac:dyDescent="0.2">
      <c r="A110" s="6" t="s">
        <v>26</v>
      </c>
      <c r="B110" s="7">
        <v>62.5</v>
      </c>
      <c r="C110" s="6">
        <v>26.38</v>
      </c>
      <c r="D110" s="6">
        <v>6.08</v>
      </c>
      <c r="E110" s="6">
        <v>21.16</v>
      </c>
      <c r="F110" s="28">
        <v>11.43</v>
      </c>
    </row>
    <row r="111" spans="1:6" x14ac:dyDescent="0.2">
      <c r="A111" s="9" t="s">
        <v>57</v>
      </c>
      <c r="B111" s="10">
        <v>61.5</v>
      </c>
      <c r="C111" s="9">
        <v>25.9</v>
      </c>
      <c r="D111" s="9">
        <v>4.84</v>
      </c>
      <c r="E111" s="9">
        <v>19.23</v>
      </c>
      <c r="F111" s="29">
        <v>9.4700000000000006</v>
      </c>
    </row>
    <row r="112" spans="1:6" x14ac:dyDescent="0.2">
      <c r="A112" s="6" t="s">
        <v>44</v>
      </c>
      <c r="B112" s="7">
        <v>70</v>
      </c>
      <c r="C112" s="6">
        <v>21.47</v>
      </c>
      <c r="D112" s="6">
        <v>10.27</v>
      </c>
      <c r="E112" s="6">
        <v>21.69</v>
      </c>
      <c r="F112" s="28">
        <v>8.2899999999999991</v>
      </c>
    </row>
    <row r="113" spans="1:6" x14ac:dyDescent="0.2">
      <c r="A113" s="9" t="s">
        <v>128</v>
      </c>
      <c r="B113" s="10">
        <v>55.6</v>
      </c>
      <c r="C113" s="9">
        <v>23.32</v>
      </c>
      <c r="D113" s="9">
        <v>10.050000000000001</v>
      </c>
      <c r="E113" s="9">
        <v>20.52</v>
      </c>
      <c r="F113" s="29">
        <v>3.24</v>
      </c>
    </row>
    <row r="114" spans="1:6" x14ac:dyDescent="0.2">
      <c r="A114" s="6" t="s">
        <v>102</v>
      </c>
      <c r="B114" s="7">
        <v>76.5</v>
      </c>
      <c r="C114" s="6">
        <v>18.68</v>
      </c>
      <c r="D114" s="6">
        <v>11</v>
      </c>
      <c r="E114" s="6">
        <v>22.29</v>
      </c>
      <c r="F114" s="28">
        <v>5.5</v>
      </c>
    </row>
    <row r="115" spans="1:6" x14ac:dyDescent="0.2">
      <c r="A115" s="9" t="s">
        <v>92</v>
      </c>
      <c r="B115" s="10">
        <v>83.3</v>
      </c>
      <c r="C115" s="9">
        <v>21.85</v>
      </c>
      <c r="D115" s="9">
        <v>10.46</v>
      </c>
      <c r="E115" s="9">
        <v>19.809999999999999</v>
      </c>
      <c r="F115" s="29">
        <v>10.7</v>
      </c>
    </row>
    <row r="116" spans="1:6" x14ac:dyDescent="0.2">
      <c r="A116" s="6" t="s">
        <v>100</v>
      </c>
      <c r="B116" s="7">
        <v>64.7</v>
      </c>
      <c r="C116" s="6">
        <v>20.95</v>
      </c>
      <c r="D116" s="6">
        <v>3.87</v>
      </c>
      <c r="E116" s="6">
        <v>27.48</v>
      </c>
      <c r="F116" s="28">
        <v>9.7200000000000006</v>
      </c>
    </row>
    <row r="117" spans="1:6" x14ac:dyDescent="0.2">
      <c r="A117" s="9" t="s">
        <v>64</v>
      </c>
      <c r="B117" s="10">
        <v>80</v>
      </c>
      <c r="C117" s="9">
        <v>24.04</v>
      </c>
      <c r="D117" s="9">
        <v>10.32</v>
      </c>
      <c r="E117" s="9">
        <v>23.22</v>
      </c>
      <c r="F117" s="29">
        <v>6.95</v>
      </c>
    </row>
    <row r="118" spans="1:6" x14ac:dyDescent="0.2">
      <c r="A118" s="6" t="s">
        <v>32</v>
      </c>
      <c r="B118" s="7">
        <v>55.6</v>
      </c>
      <c r="C118" s="6">
        <v>16.510000000000002</v>
      </c>
      <c r="D118" s="6">
        <v>9.75</v>
      </c>
      <c r="E118" s="6">
        <v>23.21</v>
      </c>
      <c r="F118" s="28">
        <v>9.8000000000000007</v>
      </c>
    </row>
    <row r="119" spans="1:6" x14ac:dyDescent="0.2">
      <c r="A119" s="9" t="s">
        <v>17</v>
      </c>
      <c r="B119" s="10">
        <v>64.3</v>
      </c>
      <c r="C119" s="9">
        <v>21.14</v>
      </c>
      <c r="D119" s="9">
        <v>6.75</v>
      </c>
      <c r="E119" s="9">
        <v>22.1</v>
      </c>
      <c r="F119" s="29">
        <v>6.4</v>
      </c>
    </row>
    <row r="120" spans="1:6" x14ac:dyDescent="0.2">
      <c r="A120" s="6" t="s">
        <v>41</v>
      </c>
      <c r="B120" s="7">
        <v>70</v>
      </c>
      <c r="C120" s="6">
        <v>21.91</v>
      </c>
      <c r="D120" s="6">
        <v>6.85</v>
      </c>
      <c r="E120" s="6">
        <v>21.34</v>
      </c>
      <c r="F120" s="28">
        <v>6.74</v>
      </c>
    </row>
    <row r="121" spans="1:6" x14ac:dyDescent="0.2">
      <c r="A121" s="9" t="s">
        <v>20</v>
      </c>
      <c r="B121" s="10">
        <v>57.9</v>
      </c>
      <c r="C121" s="9">
        <v>19.61</v>
      </c>
      <c r="D121" s="9">
        <v>11</v>
      </c>
      <c r="E121" s="9">
        <v>23.65</v>
      </c>
      <c r="F121" s="29">
        <v>7.53</v>
      </c>
    </row>
    <row r="122" spans="1:6" x14ac:dyDescent="0.2">
      <c r="A122" s="6" t="s">
        <v>80</v>
      </c>
      <c r="B122" s="7">
        <v>66.7</v>
      </c>
      <c r="C122" s="6">
        <v>24.61</v>
      </c>
      <c r="D122" s="6">
        <v>10.64</v>
      </c>
      <c r="E122" s="6">
        <v>22.8</v>
      </c>
      <c r="F122" s="28">
        <v>10.65</v>
      </c>
    </row>
    <row r="123" spans="1:6" x14ac:dyDescent="0.2">
      <c r="A123" s="9" t="s">
        <v>29</v>
      </c>
      <c r="B123" s="10">
        <v>62.5</v>
      </c>
      <c r="C123" s="9">
        <v>19.739999999999998</v>
      </c>
      <c r="D123" s="9">
        <v>11.18</v>
      </c>
      <c r="E123" s="9">
        <v>19.670000000000002</v>
      </c>
      <c r="F123" s="29">
        <v>11.2</v>
      </c>
    </row>
    <row r="124" spans="1:6" x14ac:dyDescent="0.2">
      <c r="A124" s="6" t="s">
        <v>25</v>
      </c>
      <c r="B124" s="7">
        <v>55.6</v>
      </c>
      <c r="C124" s="6">
        <v>22.23</v>
      </c>
      <c r="D124" s="6">
        <v>8.15</v>
      </c>
      <c r="E124" s="6">
        <v>19.52</v>
      </c>
      <c r="F124" s="28">
        <v>6.43</v>
      </c>
    </row>
    <row r="125" spans="1:6" x14ac:dyDescent="0.2">
      <c r="A125" s="2" t="s">
        <v>106</v>
      </c>
      <c r="B125" s="4">
        <v>58.3</v>
      </c>
      <c r="C125" s="2">
        <v>18.03</v>
      </c>
      <c r="D125" s="2">
        <v>13.43</v>
      </c>
      <c r="E125" s="2">
        <v>20.77</v>
      </c>
      <c r="F125" s="30">
        <v>11.27</v>
      </c>
    </row>
  </sheetData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121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20.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83.3</v>
      </c>
      <c r="C2" s="6">
        <v>21.32</v>
      </c>
      <c r="D2" s="6">
        <v>10.77</v>
      </c>
      <c r="E2" s="6">
        <v>18.45</v>
      </c>
      <c r="F2" s="28">
        <v>8</v>
      </c>
      <c r="H2">
        <v>1</v>
      </c>
      <c r="I2" t="s">
        <v>11</v>
      </c>
      <c r="J2">
        <f>VLOOKUP(I2,'ST 2011'!$A$2:$F$121,2)</f>
        <v>63.9</v>
      </c>
      <c r="K2">
        <f>VLOOKUP(I2,'ST 2011'!$A$2:$F$121,3)</f>
        <v>24.09</v>
      </c>
      <c r="L2">
        <f>VLOOKUP(I2,'ST 2011'!$A$2:$F$121,4)</f>
        <v>13</v>
      </c>
      <c r="M2">
        <f>VLOOKUP(I2,'ST 2011'!$A$2:$F$121,5)</f>
        <v>21.68</v>
      </c>
      <c r="N2">
        <f>VLOOKUP(I2,'ST 2011'!$A$2:$F$121,6)</f>
        <v>4.6399999999999997</v>
      </c>
      <c r="O2">
        <v>2011</v>
      </c>
    </row>
    <row r="3" spans="1:15" x14ac:dyDescent="0.2">
      <c r="A3" s="9" t="s">
        <v>103</v>
      </c>
      <c r="B3" s="10">
        <v>78.599999999999994</v>
      </c>
      <c r="C3" s="9">
        <v>17.600000000000001</v>
      </c>
      <c r="D3" s="9">
        <v>4.2699999999999996</v>
      </c>
      <c r="E3" s="9">
        <v>22.11</v>
      </c>
      <c r="F3" s="29">
        <v>7.26</v>
      </c>
      <c r="H3">
        <v>2</v>
      </c>
      <c r="I3" t="s">
        <v>70</v>
      </c>
      <c r="J3">
        <f>VLOOKUP(I3,'ST 2011'!$A$2:$F$121,2)</f>
        <v>88.9</v>
      </c>
      <c r="K3">
        <f>VLOOKUP(I3,'ST 2011'!$A$2:$F$121,3)</f>
        <v>21.62</v>
      </c>
      <c r="L3">
        <f>VLOOKUP(I3,'ST 2011'!$A$2:$F$121,4)</f>
        <v>13.44</v>
      </c>
      <c r="M3">
        <f>VLOOKUP(I3,'ST 2011'!$A$2:$F$121,5)</f>
        <v>20</v>
      </c>
      <c r="N3">
        <f>VLOOKUP(I3,'ST 2011'!$A$2:$F$121,6)</f>
        <v>3.65</v>
      </c>
      <c r="O3">
        <v>2011</v>
      </c>
    </row>
    <row r="4" spans="1:15" x14ac:dyDescent="0.2">
      <c r="A4" s="6" t="s">
        <v>11</v>
      </c>
      <c r="B4" s="7">
        <v>63.9</v>
      </c>
      <c r="C4" s="6">
        <v>24.09</v>
      </c>
      <c r="D4" s="6">
        <v>13</v>
      </c>
      <c r="E4" s="6">
        <v>21.68</v>
      </c>
      <c r="F4" s="28">
        <v>4.6399999999999997</v>
      </c>
      <c r="H4">
        <v>3</v>
      </c>
      <c r="I4" t="s">
        <v>2</v>
      </c>
      <c r="J4">
        <f>VLOOKUP(I4,'ST 2011'!$A$2:$F$121,2)</f>
        <v>88</v>
      </c>
      <c r="K4">
        <f>VLOOKUP(I4,'ST 2011'!$A$2:$F$121,3)</f>
        <v>22.25</v>
      </c>
      <c r="L4">
        <f>VLOOKUP(I4,'ST 2011'!$A$2:$F$121,4)</f>
        <v>3.43</v>
      </c>
      <c r="M4">
        <f>VLOOKUP(I4,'ST 2011'!$A$2:$F$121,5)</f>
        <v>24.21</v>
      </c>
      <c r="N4">
        <f>VLOOKUP(I4,'ST 2011'!$A$2:$F$121,6)</f>
        <v>11.13</v>
      </c>
      <c r="O4">
        <v>2011</v>
      </c>
    </row>
    <row r="5" spans="1:15" x14ac:dyDescent="0.2">
      <c r="A5" s="9" t="s">
        <v>5</v>
      </c>
      <c r="B5" s="10">
        <v>55.6</v>
      </c>
      <c r="C5" s="9">
        <v>21.04</v>
      </c>
      <c r="D5" s="9">
        <v>4.71</v>
      </c>
      <c r="E5" s="9">
        <v>24</v>
      </c>
      <c r="F5" s="29">
        <v>13.56</v>
      </c>
      <c r="H5">
        <v>4</v>
      </c>
      <c r="I5" t="s">
        <v>18</v>
      </c>
      <c r="J5">
        <f>VLOOKUP(I5,'ST 2011'!$A$2:$F$121,2)</f>
        <v>64.3</v>
      </c>
      <c r="K5">
        <f>VLOOKUP(I5,'ST 2011'!$A$2:$F$121,3)</f>
        <v>24.48</v>
      </c>
      <c r="L5">
        <f>VLOOKUP(I5,'ST 2011'!$A$2:$F$121,4)</f>
        <v>9.5500000000000007</v>
      </c>
      <c r="M5">
        <f>VLOOKUP(I5,'ST 2011'!$A$2:$F$121,5)</f>
        <v>19.87</v>
      </c>
      <c r="N5">
        <f>VLOOKUP(I5,'ST 2011'!$A$2:$F$121,6)</f>
        <v>7.82</v>
      </c>
      <c r="O5">
        <v>2011</v>
      </c>
    </row>
    <row r="6" spans="1:15" x14ac:dyDescent="0.2">
      <c r="A6" s="6" t="s">
        <v>38</v>
      </c>
      <c r="B6" s="7">
        <v>68.2</v>
      </c>
      <c r="C6" s="6">
        <v>25.12</v>
      </c>
      <c r="D6" s="6">
        <v>15.33</v>
      </c>
      <c r="E6" s="6">
        <v>23.1</v>
      </c>
      <c r="F6" s="28">
        <v>7.67</v>
      </c>
      <c r="H6">
        <v>5</v>
      </c>
      <c r="I6" t="s">
        <v>63</v>
      </c>
      <c r="J6">
        <f>VLOOKUP(I6,'ST 2011'!$A$2:$F$121,2)</f>
        <v>77.8</v>
      </c>
      <c r="K6">
        <f>VLOOKUP(I6,'ST 2011'!$A$2:$F$121,3)</f>
        <v>23.19</v>
      </c>
      <c r="L6">
        <f>VLOOKUP(I6,'ST 2011'!$A$2:$F$121,4)</f>
        <v>13.55</v>
      </c>
      <c r="M6">
        <f>VLOOKUP(I6,'ST 2011'!$A$2:$F$121,5)</f>
        <v>22.25</v>
      </c>
      <c r="N6">
        <f>VLOOKUP(I6,'ST 2011'!$A$2:$F$121,6)</f>
        <v>13.96</v>
      </c>
      <c r="O6">
        <v>2011</v>
      </c>
    </row>
    <row r="7" spans="1:15" x14ac:dyDescent="0.2">
      <c r="A7" s="9" t="s">
        <v>63</v>
      </c>
      <c r="B7" s="10">
        <v>77.8</v>
      </c>
      <c r="C7" s="9">
        <v>23.19</v>
      </c>
      <c r="D7" s="9">
        <v>13.55</v>
      </c>
      <c r="E7" s="9">
        <v>22.25</v>
      </c>
      <c r="F7" s="29">
        <v>13.96</v>
      </c>
      <c r="H7">
        <v>6</v>
      </c>
      <c r="I7" t="s">
        <v>26</v>
      </c>
      <c r="J7">
        <f>VLOOKUP(I7,'ST 2011'!$A$2:$F$121,2)</f>
        <v>88.2</v>
      </c>
      <c r="K7">
        <f>VLOOKUP(I7,'ST 2011'!$A$2:$F$121,3)</f>
        <v>20.71</v>
      </c>
      <c r="L7">
        <f>VLOOKUP(I7,'ST 2011'!$A$2:$F$121,4)</f>
        <v>10.27</v>
      </c>
      <c r="M7">
        <f>VLOOKUP(I7,'ST 2011'!$A$2:$F$121,5)</f>
        <v>23.5</v>
      </c>
      <c r="N7">
        <f>VLOOKUP(I7,'ST 2011'!$A$2:$F$121,6)</f>
        <v>10.4</v>
      </c>
      <c r="O7">
        <v>2011</v>
      </c>
    </row>
    <row r="8" spans="1:15" x14ac:dyDescent="0.2">
      <c r="A8" s="6" t="s">
        <v>8</v>
      </c>
      <c r="B8" s="7">
        <v>70.599999999999994</v>
      </c>
      <c r="C8" s="6">
        <v>20.76</v>
      </c>
      <c r="D8" s="6">
        <v>8.41</v>
      </c>
      <c r="E8" s="6">
        <v>17.7</v>
      </c>
      <c r="F8" s="28">
        <v>3.83</v>
      </c>
      <c r="H8">
        <v>7</v>
      </c>
      <c r="I8" t="s">
        <v>37</v>
      </c>
      <c r="J8">
        <f>VLOOKUP(I8,'ST 2011'!$A$2:$F$121,2)</f>
        <v>70.8</v>
      </c>
      <c r="K8">
        <f>VLOOKUP(I8,'ST 2011'!$A$2:$F$121,3)</f>
        <v>22.55</v>
      </c>
      <c r="L8">
        <f>VLOOKUP(I8,'ST 2011'!$A$2:$F$121,4)</f>
        <v>11.32</v>
      </c>
      <c r="M8">
        <f>VLOOKUP(I8,'ST 2011'!$A$2:$F$121,5)</f>
        <v>21.31</v>
      </c>
      <c r="N8">
        <f>VLOOKUP(I8,'ST 2011'!$A$2:$F$121,6)</f>
        <v>6.36</v>
      </c>
      <c r="O8">
        <v>2011</v>
      </c>
    </row>
    <row r="9" spans="1:15" x14ac:dyDescent="0.2">
      <c r="A9" s="9" t="s">
        <v>42</v>
      </c>
      <c r="B9" s="10">
        <v>50</v>
      </c>
      <c r="C9" s="9">
        <v>18.670000000000002</v>
      </c>
      <c r="D9" s="9">
        <v>3.67</v>
      </c>
      <c r="E9" s="9">
        <v>21.17</v>
      </c>
      <c r="F9" s="29">
        <v>10.31</v>
      </c>
      <c r="H9">
        <v>8</v>
      </c>
      <c r="I9" t="s">
        <v>33</v>
      </c>
      <c r="J9">
        <f>VLOOKUP(I9,'ST 2011'!$A$2:$F$121,2)</f>
        <v>66.7</v>
      </c>
      <c r="K9">
        <f>VLOOKUP(I9,'ST 2011'!$A$2:$F$121,3)</f>
        <v>23.35</v>
      </c>
      <c r="L9">
        <f>VLOOKUP(I9,'ST 2011'!$A$2:$F$121,4)</f>
        <v>11.88</v>
      </c>
      <c r="M9">
        <f>VLOOKUP(I9,'ST 2011'!$A$2:$F$121,5)</f>
        <v>19.04</v>
      </c>
      <c r="N9">
        <f>VLOOKUP(I9,'ST 2011'!$A$2:$F$121,6)</f>
        <v>9</v>
      </c>
      <c r="O9">
        <v>2011</v>
      </c>
    </row>
    <row r="10" spans="1:15" x14ac:dyDescent="0.2">
      <c r="A10" s="6" t="s">
        <v>19</v>
      </c>
      <c r="B10" s="7">
        <v>72.2</v>
      </c>
      <c r="C10" s="6">
        <v>24.65</v>
      </c>
      <c r="D10" s="6">
        <v>6.74</v>
      </c>
      <c r="E10" s="6">
        <v>22.11</v>
      </c>
      <c r="F10" s="28">
        <v>6.2</v>
      </c>
      <c r="H10">
        <v>9</v>
      </c>
      <c r="I10" t="s">
        <v>98</v>
      </c>
      <c r="J10">
        <f>VLOOKUP(I10,'ST 2011'!$A$2:$F$121,2)</f>
        <v>63.6</v>
      </c>
      <c r="K10">
        <f>VLOOKUP(I10,'ST 2011'!$A$2:$F$121,3)</f>
        <v>21.84</v>
      </c>
      <c r="L10">
        <f>VLOOKUP(I10,'ST 2011'!$A$2:$F$121,4)</f>
        <v>7.8</v>
      </c>
      <c r="M10">
        <f>VLOOKUP(I10,'ST 2011'!$A$2:$F$121,5)</f>
        <v>21.98</v>
      </c>
      <c r="N10">
        <f>VLOOKUP(I10,'ST 2011'!$A$2:$F$121,6)</f>
        <v>6.94</v>
      </c>
      <c r="O10">
        <v>2011</v>
      </c>
    </row>
    <row r="11" spans="1:15" x14ac:dyDescent="0.2">
      <c r="A11" s="9" t="s">
        <v>120</v>
      </c>
      <c r="B11" s="10">
        <v>75</v>
      </c>
      <c r="C11" s="9">
        <v>20.96</v>
      </c>
      <c r="D11" s="9">
        <v>10.88</v>
      </c>
      <c r="E11" s="9">
        <v>20.309999999999999</v>
      </c>
      <c r="F11" s="29">
        <v>5.38</v>
      </c>
      <c r="H11">
        <v>10</v>
      </c>
      <c r="I11" t="s">
        <v>25</v>
      </c>
      <c r="J11">
        <f>VLOOKUP(I11,'ST 2011'!$A$2:$F$121,2)</f>
        <v>72.7</v>
      </c>
      <c r="K11">
        <f>VLOOKUP(I11,'ST 2011'!$A$2:$F$121,3)</f>
        <v>21.88</v>
      </c>
      <c r="L11">
        <f>VLOOKUP(I11,'ST 2011'!$A$2:$F$121,4)</f>
        <v>15.09</v>
      </c>
      <c r="M11">
        <f>VLOOKUP(I11,'ST 2011'!$A$2:$F$121,5)</f>
        <v>22.81</v>
      </c>
      <c r="N11">
        <f>VLOOKUP(I11,'ST 2011'!$A$2:$F$121,6)</f>
        <v>7.67</v>
      </c>
      <c r="O11">
        <v>2011</v>
      </c>
    </row>
    <row r="12" spans="1:15" x14ac:dyDescent="0.2">
      <c r="A12" s="6" t="s">
        <v>94</v>
      </c>
      <c r="B12" s="7">
        <v>58.8</v>
      </c>
      <c r="C12" s="6">
        <v>19.98</v>
      </c>
      <c r="D12" s="6">
        <v>8</v>
      </c>
      <c r="E12" s="6">
        <v>21.78</v>
      </c>
      <c r="F12" s="28">
        <v>11.4</v>
      </c>
      <c r="H12">
        <v>11</v>
      </c>
      <c r="I12" t="s">
        <v>104</v>
      </c>
      <c r="J12">
        <f>VLOOKUP(I12,'ST 2011'!$A$2:$F$121,2)</f>
        <v>75</v>
      </c>
      <c r="K12">
        <f>VLOOKUP(I12,'ST 2011'!$A$2:$F$121,3)</f>
        <v>23.68</v>
      </c>
      <c r="L12">
        <f>VLOOKUP(I12,'ST 2011'!$A$2:$F$121,4)</f>
        <v>10.55</v>
      </c>
      <c r="M12">
        <f>VLOOKUP(I12,'ST 2011'!$A$2:$F$121,5)</f>
        <v>22.95</v>
      </c>
      <c r="N12">
        <f>VLOOKUP(I12,'ST 2011'!$A$2:$F$121,6)</f>
        <v>16.23</v>
      </c>
      <c r="O12">
        <v>2011</v>
      </c>
    </row>
    <row r="13" spans="1:15" x14ac:dyDescent="0.2">
      <c r="A13" s="9" t="s">
        <v>33</v>
      </c>
      <c r="B13" s="10">
        <v>66.7</v>
      </c>
      <c r="C13" s="9">
        <v>23.35</v>
      </c>
      <c r="D13" s="9">
        <v>11.88</v>
      </c>
      <c r="E13" s="9">
        <v>19.04</v>
      </c>
      <c r="F13" s="29">
        <v>9</v>
      </c>
      <c r="H13">
        <v>12</v>
      </c>
      <c r="I13" t="s">
        <v>84</v>
      </c>
      <c r="J13">
        <f>VLOOKUP(I13,'ST 2011'!$A$2:$F$121,2)</f>
        <v>76.5</v>
      </c>
      <c r="K13">
        <f>VLOOKUP(I13,'ST 2011'!$A$2:$F$121,3)</f>
        <v>18.43</v>
      </c>
      <c r="L13">
        <f>VLOOKUP(I13,'ST 2011'!$A$2:$F$121,4)</f>
        <v>9</v>
      </c>
      <c r="M13">
        <f>VLOOKUP(I13,'ST 2011'!$A$2:$F$121,5)</f>
        <v>21.44</v>
      </c>
      <c r="N13">
        <f>VLOOKUP(I13,'ST 2011'!$A$2:$F$121,6)</f>
        <v>9.19</v>
      </c>
      <c r="O13">
        <v>2011</v>
      </c>
    </row>
    <row r="14" spans="1:15" x14ac:dyDescent="0.2">
      <c r="A14" s="6" t="s">
        <v>79</v>
      </c>
      <c r="B14" s="7">
        <v>62.5</v>
      </c>
      <c r="C14" s="6">
        <v>20.02</v>
      </c>
      <c r="D14" s="6">
        <v>6</v>
      </c>
      <c r="E14" s="6">
        <v>20.45</v>
      </c>
      <c r="F14" s="28">
        <v>6.18</v>
      </c>
      <c r="H14">
        <v>13</v>
      </c>
      <c r="I14" t="s">
        <v>94</v>
      </c>
      <c r="J14">
        <f>VLOOKUP(I14,'ST 2011'!$A$2:$F$121,2)</f>
        <v>58.8</v>
      </c>
      <c r="K14">
        <f>VLOOKUP(I14,'ST 2011'!$A$2:$F$121,3)</f>
        <v>19.98</v>
      </c>
      <c r="L14">
        <f>VLOOKUP(I14,'ST 2011'!$A$2:$F$121,4)</f>
        <v>8</v>
      </c>
      <c r="M14">
        <f>VLOOKUP(I14,'ST 2011'!$A$2:$F$121,5)</f>
        <v>21.78</v>
      </c>
      <c r="N14">
        <f>VLOOKUP(I14,'ST 2011'!$A$2:$F$121,6)</f>
        <v>11.4</v>
      </c>
      <c r="O14">
        <v>2011</v>
      </c>
    </row>
    <row r="15" spans="1:15" x14ac:dyDescent="0.2">
      <c r="A15" s="9" t="s">
        <v>87</v>
      </c>
      <c r="B15" s="10">
        <v>69.2</v>
      </c>
      <c r="C15" s="9">
        <v>21.91</v>
      </c>
      <c r="D15" s="9">
        <v>5.8</v>
      </c>
      <c r="E15" s="9">
        <v>20.64</v>
      </c>
      <c r="F15" s="29">
        <v>7.4</v>
      </c>
      <c r="H15">
        <v>14</v>
      </c>
      <c r="I15" t="s">
        <v>27</v>
      </c>
      <c r="J15">
        <f>VLOOKUP(I15,'ST 2011'!$A$2:$F$121,2)</f>
        <v>82.4</v>
      </c>
      <c r="K15">
        <f>VLOOKUP(I15,'ST 2011'!$A$2:$F$121,3)</f>
        <v>28.23</v>
      </c>
      <c r="L15">
        <f>VLOOKUP(I15,'ST 2011'!$A$2:$F$121,4)</f>
        <v>9.9700000000000006</v>
      </c>
      <c r="M15">
        <f>VLOOKUP(I15,'ST 2011'!$A$2:$F$121,5)</f>
        <v>20.99</v>
      </c>
      <c r="N15">
        <f>VLOOKUP(I15,'ST 2011'!$A$2:$F$121,6)</f>
        <v>7.44</v>
      </c>
      <c r="O15">
        <v>2011</v>
      </c>
    </row>
    <row r="16" spans="1:15" x14ac:dyDescent="0.2">
      <c r="A16" s="6" t="s">
        <v>66</v>
      </c>
      <c r="B16" s="7">
        <v>68.8</v>
      </c>
      <c r="C16" s="6">
        <v>19.600000000000001</v>
      </c>
      <c r="D16" s="6">
        <v>5.37</v>
      </c>
      <c r="E16" s="6">
        <v>20.88</v>
      </c>
      <c r="F16" s="28">
        <v>10.63</v>
      </c>
      <c r="H16">
        <v>15</v>
      </c>
      <c r="I16" t="s">
        <v>36</v>
      </c>
      <c r="J16">
        <f>VLOOKUP(I16,'ST 2011'!$A$2:$F$121,2)</f>
        <v>73.900000000000006</v>
      </c>
      <c r="K16">
        <f>VLOOKUP(I16,'ST 2011'!$A$2:$F$121,3)</f>
        <v>25.2</v>
      </c>
      <c r="L16">
        <f>VLOOKUP(I16,'ST 2011'!$A$2:$F$121,4)</f>
        <v>8.42</v>
      </c>
      <c r="M16">
        <f>VLOOKUP(I16,'ST 2011'!$A$2:$F$121,5)</f>
        <v>20.03</v>
      </c>
      <c r="N16">
        <f>VLOOKUP(I16,'ST 2011'!$A$2:$F$121,6)</f>
        <v>10.050000000000001</v>
      </c>
      <c r="O16">
        <v>2011</v>
      </c>
    </row>
    <row r="17" spans="1:15" x14ac:dyDescent="0.2">
      <c r="A17" s="9" t="s">
        <v>122</v>
      </c>
      <c r="B17" s="10">
        <v>60</v>
      </c>
      <c r="C17" s="9">
        <v>22.79</v>
      </c>
      <c r="D17" s="9">
        <v>11</v>
      </c>
      <c r="E17" s="9">
        <v>20.02</v>
      </c>
      <c r="F17" s="29">
        <v>10.58</v>
      </c>
      <c r="H17">
        <v>16</v>
      </c>
      <c r="I17" t="s">
        <v>3</v>
      </c>
      <c r="J17">
        <f>VLOOKUP(I17,'ST 2011'!$A$2:$F$121,2)</f>
        <v>89.3</v>
      </c>
      <c r="K17">
        <f>VLOOKUP(I17,'ST 2011'!$A$2:$F$121,3)</f>
        <v>21.61</v>
      </c>
      <c r="L17">
        <f>VLOOKUP(I17,'ST 2011'!$A$2:$F$121,4)</f>
        <v>8.67</v>
      </c>
      <c r="M17">
        <f>VLOOKUP(I17,'ST 2011'!$A$2:$F$121,5)</f>
        <v>19.850000000000001</v>
      </c>
      <c r="N17">
        <f>VLOOKUP(I17,'ST 2011'!$A$2:$F$121,6)</f>
        <v>11.58</v>
      </c>
      <c r="O17">
        <v>2011</v>
      </c>
    </row>
    <row r="18" spans="1:15" x14ac:dyDescent="0.2">
      <c r="A18" s="6" t="s">
        <v>72</v>
      </c>
      <c r="B18" s="7">
        <v>87</v>
      </c>
      <c r="C18" s="6">
        <v>20.04</v>
      </c>
      <c r="D18" s="6">
        <v>5.8</v>
      </c>
      <c r="E18" s="6">
        <v>20.39</v>
      </c>
      <c r="F18" s="28">
        <v>7</v>
      </c>
      <c r="H18">
        <v>17</v>
      </c>
      <c r="I18" t="s">
        <v>20</v>
      </c>
      <c r="J18">
        <f>VLOOKUP(I18,'ST 2011'!$A$2:$F$121,2)</f>
        <v>72.7</v>
      </c>
      <c r="K18">
        <f>VLOOKUP(I18,'ST 2011'!$A$2:$F$121,3)</f>
        <v>23.67</v>
      </c>
      <c r="L18">
        <f>VLOOKUP(I18,'ST 2011'!$A$2:$F$121,4)</f>
        <v>11.76</v>
      </c>
      <c r="M18">
        <f>VLOOKUP(I18,'ST 2011'!$A$2:$F$121,5)</f>
        <v>23.82</v>
      </c>
      <c r="N18">
        <f>VLOOKUP(I18,'ST 2011'!$A$2:$F$121,6)</f>
        <v>10.56</v>
      </c>
      <c r="O18">
        <v>2011</v>
      </c>
    </row>
    <row r="19" spans="1:15" x14ac:dyDescent="0.2">
      <c r="A19" s="9" t="s">
        <v>54</v>
      </c>
      <c r="B19" s="10">
        <v>81.3</v>
      </c>
      <c r="C19" s="9">
        <v>20.14</v>
      </c>
      <c r="D19" s="9">
        <v>7.77</v>
      </c>
      <c r="E19" s="9">
        <v>21.2</v>
      </c>
      <c r="F19" s="29">
        <v>10.88</v>
      </c>
      <c r="H19">
        <v>18</v>
      </c>
      <c r="I19" t="s">
        <v>67</v>
      </c>
      <c r="J19">
        <f>VLOOKUP(I19,'ST 2011'!$A$2:$F$121,2)</f>
        <v>76.5</v>
      </c>
      <c r="K19">
        <f>VLOOKUP(I19,'ST 2011'!$A$2:$F$121,3)</f>
        <v>22.59</v>
      </c>
      <c r="L19">
        <f>VLOOKUP(I19,'ST 2011'!$A$2:$F$121,4)</f>
        <v>13.21</v>
      </c>
      <c r="M19">
        <f>VLOOKUP(I19,'ST 2011'!$A$2:$F$121,5)</f>
        <v>21.34</v>
      </c>
      <c r="N19">
        <f>VLOOKUP(I19,'ST 2011'!$A$2:$F$121,6)</f>
        <v>10.55</v>
      </c>
      <c r="O19">
        <v>2011</v>
      </c>
    </row>
    <row r="20" spans="1:15" x14ac:dyDescent="0.2">
      <c r="A20" s="6" t="s">
        <v>110</v>
      </c>
      <c r="B20" s="7">
        <v>68</v>
      </c>
      <c r="C20" s="6">
        <v>24.1</v>
      </c>
      <c r="D20" s="6">
        <v>6.89</v>
      </c>
      <c r="E20" s="6">
        <v>18.899999999999999</v>
      </c>
      <c r="F20" s="28">
        <v>6.86</v>
      </c>
      <c r="H20">
        <v>19</v>
      </c>
      <c r="I20" t="s">
        <v>22</v>
      </c>
      <c r="J20">
        <f>VLOOKUP(I20,'ST 2011'!$A$2:$F$121,2)</f>
        <v>59.5</v>
      </c>
      <c r="K20">
        <f>VLOOKUP(I20,'ST 2011'!$A$2:$F$121,3)</f>
        <v>21.56</v>
      </c>
      <c r="L20">
        <f>VLOOKUP(I20,'ST 2011'!$A$2:$F$121,4)</f>
        <v>9.9600000000000009</v>
      </c>
      <c r="M20">
        <f>VLOOKUP(I20,'ST 2011'!$A$2:$F$121,5)</f>
        <v>23.05</v>
      </c>
      <c r="N20">
        <f>VLOOKUP(I20,'ST 2011'!$A$2:$F$121,6)</f>
        <v>14.92</v>
      </c>
      <c r="O20">
        <v>2011</v>
      </c>
    </row>
    <row r="21" spans="1:15" x14ac:dyDescent="0.2">
      <c r="A21" s="9" t="s">
        <v>24</v>
      </c>
      <c r="B21" s="10">
        <v>81.5</v>
      </c>
      <c r="C21" s="9">
        <v>22.3</v>
      </c>
      <c r="D21" s="9">
        <v>6.07</v>
      </c>
      <c r="E21" s="9">
        <v>20.03</v>
      </c>
      <c r="F21" s="29">
        <v>9.33</v>
      </c>
      <c r="H21">
        <v>20</v>
      </c>
      <c r="I21" t="s">
        <v>47</v>
      </c>
      <c r="J21">
        <f>VLOOKUP(I21,'ST 2011'!$A$2:$F$121,2)</f>
        <v>69.400000000000006</v>
      </c>
      <c r="K21">
        <f>VLOOKUP(I21,'ST 2011'!$A$2:$F$121,3)</f>
        <v>22.58</v>
      </c>
      <c r="L21">
        <f>VLOOKUP(I21,'ST 2011'!$A$2:$F$121,4)</f>
        <v>12.8</v>
      </c>
      <c r="M21">
        <f>VLOOKUP(I21,'ST 2011'!$A$2:$F$121,5)</f>
        <v>21.48</v>
      </c>
      <c r="N21">
        <f>VLOOKUP(I21,'ST 2011'!$A$2:$F$121,6)</f>
        <v>6.13</v>
      </c>
      <c r="O21">
        <v>2011</v>
      </c>
    </row>
    <row r="22" spans="1:15" x14ac:dyDescent="0.2">
      <c r="A22" s="6" t="s">
        <v>77</v>
      </c>
      <c r="B22" s="7">
        <v>68.8</v>
      </c>
      <c r="C22" s="6">
        <v>18.57</v>
      </c>
      <c r="D22" s="6">
        <v>4.3099999999999996</v>
      </c>
      <c r="E22" s="6">
        <v>22.51</v>
      </c>
      <c r="F22" s="28">
        <v>8.06</v>
      </c>
      <c r="H22">
        <v>21</v>
      </c>
      <c r="I22" t="s">
        <v>64</v>
      </c>
      <c r="J22">
        <f>VLOOKUP(I22,'ST 2011'!$A$2:$F$121,2)</f>
        <v>72</v>
      </c>
      <c r="K22">
        <f>VLOOKUP(I22,'ST 2011'!$A$2:$F$121,3)</f>
        <v>20.02</v>
      </c>
      <c r="L22">
        <f>VLOOKUP(I22,'ST 2011'!$A$2:$F$121,4)</f>
        <v>10.77</v>
      </c>
      <c r="M22">
        <f>VLOOKUP(I22,'ST 2011'!$A$2:$F$121,5)</f>
        <v>20.67</v>
      </c>
      <c r="N22">
        <f>VLOOKUP(I22,'ST 2011'!$A$2:$F$121,6)</f>
        <v>4.12</v>
      </c>
      <c r="O22">
        <v>2011</v>
      </c>
    </row>
    <row r="23" spans="1:15" x14ac:dyDescent="0.2">
      <c r="A23" s="9" t="s">
        <v>30</v>
      </c>
      <c r="B23" s="10">
        <v>62.5</v>
      </c>
      <c r="C23" s="9">
        <v>24.06</v>
      </c>
      <c r="D23" s="9">
        <v>9.92</v>
      </c>
      <c r="E23" s="9">
        <v>24.58</v>
      </c>
      <c r="F23" s="29">
        <v>8.65</v>
      </c>
      <c r="H23">
        <v>22</v>
      </c>
      <c r="I23" t="s">
        <v>24</v>
      </c>
      <c r="J23">
        <f>VLOOKUP(I23,'ST 2011'!$A$2:$F$121,2)</f>
        <v>81.5</v>
      </c>
      <c r="K23">
        <f>VLOOKUP(I23,'ST 2011'!$A$2:$F$121,3)</f>
        <v>22.3</v>
      </c>
      <c r="L23">
        <f>VLOOKUP(I23,'ST 2011'!$A$2:$F$121,4)</f>
        <v>6.07</v>
      </c>
      <c r="M23">
        <f>VLOOKUP(I23,'ST 2011'!$A$2:$F$121,5)</f>
        <v>20.03</v>
      </c>
      <c r="N23">
        <f>VLOOKUP(I23,'ST 2011'!$A$2:$F$121,6)</f>
        <v>9.33</v>
      </c>
      <c r="O23">
        <v>2011</v>
      </c>
    </row>
    <row r="24" spans="1:15" x14ac:dyDescent="0.2">
      <c r="A24" s="6" t="s">
        <v>101</v>
      </c>
      <c r="B24" s="7">
        <v>78.599999999999994</v>
      </c>
      <c r="C24" s="6">
        <v>24.16</v>
      </c>
      <c r="D24" s="6">
        <v>5.74</v>
      </c>
      <c r="E24" s="6">
        <v>24.23</v>
      </c>
      <c r="F24" s="28">
        <v>6.48</v>
      </c>
      <c r="H24">
        <v>23</v>
      </c>
      <c r="I24" t="s">
        <v>88</v>
      </c>
      <c r="J24">
        <f>VLOOKUP(I24,'ST 2011'!$A$2:$F$121,2)</f>
        <v>81.5</v>
      </c>
      <c r="K24">
        <f>VLOOKUP(I24,'ST 2011'!$A$2:$F$121,3)</f>
        <v>24.84</v>
      </c>
      <c r="L24">
        <f>VLOOKUP(I24,'ST 2011'!$A$2:$F$121,4)</f>
        <v>10.43</v>
      </c>
      <c r="M24">
        <f>VLOOKUP(I24,'ST 2011'!$A$2:$F$121,5)</f>
        <v>19</v>
      </c>
      <c r="N24">
        <f>VLOOKUP(I24,'ST 2011'!$A$2:$F$121,6)</f>
        <v>8.9499999999999993</v>
      </c>
      <c r="O24">
        <v>2011</v>
      </c>
    </row>
    <row r="25" spans="1:15" x14ac:dyDescent="0.2">
      <c r="A25" s="9" t="s">
        <v>85</v>
      </c>
      <c r="B25" s="10">
        <v>45</v>
      </c>
      <c r="C25" s="9">
        <v>20.41</v>
      </c>
      <c r="D25" s="9">
        <v>9.0399999999999991</v>
      </c>
      <c r="E25" s="9">
        <v>17.149999999999999</v>
      </c>
      <c r="F25" s="29">
        <v>7.26</v>
      </c>
      <c r="H25">
        <v>24</v>
      </c>
      <c r="I25" t="s">
        <v>83</v>
      </c>
      <c r="J25">
        <f>VLOOKUP(I25,'ST 2011'!$A$2:$F$121,2)</f>
        <v>82.6</v>
      </c>
      <c r="K25">
        <f>VLOOKUP(I25,'ST 2011'!$A$2:$F$121,3)</f>
        <v>25.47</v>
      </c>
      <c r="L25">
        <f>VLOOKUP(I25,'ST 2011'!$A$2:$F$121,4)</f>
        <v>7.42</v>
      </c>
      <c r="M25">
        <f>VLOOKUP(I25,'ST 2011'!$A$2:$F$121,5)</f>
        <v>24.04</v>
      </c>
      <c r="N25">
        <f>VLOOKUP(I25,'ST 2011'!$A$2:$F$121,6)</f>
        <v>11.78</v>
      </c>
      <c r="O25">
        <v>2011</v>
      </c>
    </row>
    <row r="26" spans="1:15" x14ac:dyDescent="0.2">
      <c r="A26" s="6" t="s">
        <v>89</v>
      </c>
      <c r="B26" s="7">
        <v>70.599999999999994</v>
      </c>
      <c r="C26" s="6">
        <v>19.21</v>
      </c>
      <c r="D26" s="6">
        <v>10.8</v>
      </c>
      <c r="E26" s="6">
        <v>22.52</v>
      </c>
      <c r="F26" s="28">
        <v>18.29</v>
      </c>
      <c r="H26">
        <v>25</v>
      </c>
      <c r="I26" t="s">
        <v>110</v>
      </c>
      <c r="J26">
        <f>VLOOKUP(I26,'ST 2011'!$A$2:$F$121,2)</f>
        <v>68</v>
      </c>
      <c r="K26">
        <f>VLOOKUP(I26,'ST 2011'!$A$2:$F$121,3)</f>
        <v>24.1</v>
      </c>
      <c r="L26">
        <f>VLOOKUP(I26,'ST 2011'!$A$2:$F$121,4)</f>
        <v>6.89</v>
      </c>
      <c r="M26">
        <f>VLOOKUP(I26,'ST 2011'!$A$2:$F$121,5)</f>
        <v>18.899999999999999</v>
      </c>
      <c r="N26">
        <f>VLOOKUP(I26,'ST 2011'!$A$2:$F$121,6)</f>
        <v>6.86</v>
      </c>
      <c r="O26">
        <v>2011</v>
      </c>
    </row>
    <row r="27" spans="1:15" x14ac:dyDescent="0.2">
      <c r="A27" s="9" t="s">
        <v>81</v>
      </c>
      <c r="B27" s="10">
        <v>66.7</v>
      </c>
      <c r="C27" s="9">
        <v>18.579999999999998</v>
      </c>
      <c r="D27" s="9">
        <v>9.5</v>
      </c>
      <c r="E27" s="9">
        <v>16.98</v>
      </c>
      <c r="F27" s="29">
        <v>8.59</v>
      </c>
    </row>
    <row r="28" spans="1:15" x14ac:dyDescent="0.2">
      <c r="A28" s="6" t="s">
        <v>108</v>
      </c>
      <c r="B28" s="7">
        <v>82.8</v>
      </c>
      <c r="C28" s="6">
        <v>24.19</v>
      </c>
      <c r="D28" s="6">
        <v>7.12</v>
      </c>
      <c r="E28" s="6">
        <v>21.75</v>
      </c>
      <c r="F28" s="28">
        <v>5.5</v>
      </c>
    </row>
    <row r="29" spans="1:15" x14ac:dyDescent="0.2">
      <c r="A29" s="9" t="s">
        <v>9</v>
      </c>
      <c r="B29" s="10">
        <v>63.6</v>
      </c>
      <c r="C29" s="9">
        <v>20.13</v>
      </c>
      <c r="D29" s="9">
        <v>4</v>
      </c>
      <c r="E29" s="9">
        <v>20.48</v>
      </c>
      <c r="F29" s="29">
        <v>13.91</v>
      </c>
    </row>
    <row r="30" spans="1:15" x14ac:dyDescent="0.2">
      <c r="A30" s="6" t="s">
        <v>95</v>
      </c>
      <c r="B30" s="7">
        <v>84.6</v>
      </c>
      <c r="C30" s="6">
        <v>24.16</v>
      </c>
      <c r="D30" s="6">
        <v>15.93</v>
      </c>
      <c r="E30" s="6">
        <v>22.94</v>
      </c>
      <c r="F30" s="28">
        <v>9.6300000000000008</v>
      </c>
    </row>
    <row r="31" spans="1:15" x14ac:dyDescent="0.2">
      <c r="A31" s="9" t="s">
        <v>88</v>
      </c>
      <c r="B31" s="10">
        <v>81.5</v>
      </c>
      <c r="C31" s="9">
        <v>24.84</v>
      </c>
      <c r="D31" s="9">
        <v>10.43</v>
      </c>
      <c r="E31" s="9">
        <v>19</v>
      </c>
      <c r="F31" s="29">
        <v>8.9499999999999993</v>
      </c>
    </row>
    <row r="32" spans="1:15" x14ac:dyDescent="0.2">
      <c r="A32" s="6" t="s">
        <v>73</v>
      </c>
      <c r="B32" s="7">
        <v>58.8</v>
      </c>
      <c r="C32" s="6">
        <v>20.54</v>
      </c>
      <c r="D32" s="6">
        <v>15.53</v>
      </c>
      <c r="E32" s="6">
        <v>24.52</v>
      </c>
      <c r="F32" s="28">
        <v>11.75</v>
      </c>
    </row>
    <row r="33" spans="1:6" x14ac:dyDescent="0.2">
      <c r="A33" s="9" t="s">
        <v>22</v>
      </c>
      <c r="B33" s="10">
        <v>59.5</v>
      </c>
      <c r="C33" s="9">
        <v>21.56</v>
      </c>
      <c r="D33" s="9">
        <v>9.9600000000000009</v>
      </c>
      <c r="E33" s="9">
        <v>23.05</v>
      </c>
      <c r="F33" s="29">
        <v>14.92</v>
      </c>
    </row>
    <row r="34" spans="1:6" x14ac:dyDescent="0.2">
      <c r="A34" s="6" t="s">
        <v>71</v>
      </c>
      <c r="B34" s="7">
        <v>61.1</v>
      </c>
      <c r="C34" s="6">
        <v>19.21</v>
      </c>
      <c r="D34" s="6">
        <v>8.1300000000000008</v>
      </c>
      <c r="E34" s="6">
        <v>21.64</v>
      </c>
      <c r="F34" s="28">
        <v>6.31</v>
      </c>
    </row>
    <row r="35" spans="1:6" x14ac:dyDescent="0.2">
      <c r="A35" s="9" t="s">
        <v>105</v>
      </c>
      <c r="B35" s="10">
        <v>64.3</v>
      </c>
      <c r="C35" s="9">
        <v>23.9</v>
      </c>
      <c r="D35" s="9">
        <v>8.5399999999999991</v>
      </c>
      <c r="E35" s="9">
        <v>18.03</v>
      </c>
      <c r="F35" s="29">
        <v>7.5</v>
      </c>
    </row>
    <row r="36" spans="1:6" x14ac:dyDescent="0.2">
      <c r="A36" s="6" t="s">
        <v>67</v>
      </c>
      <c r="B36" s="7">
        <v>76.5</v>
      </c>
      <c r="C36" s="6">
        <v>22.59</v>
      </c>
      <c r="D36" s="6">
        <v>13.21</v>
      </c>
      <c r="E36" s="6">
        <v>21.34</v>
      </c>
      <c r="F36" s="28">
        <v>10.55</v>
      </c>
    </row>
    <row r="37" spans="1:6" x14ac:dyDescent="0.2">
      <c r="A37" s="9" t="s">
        <v>115</v>
      </c>
      <c r="B37" s="10">
        <v>66.7</v>
      </c>
      <c r="C37" s="9">
        <v>20.18</v>
      </c>
      <c r="D37" s="9">
        <v>15</v>
      </c>
      <c r="E37" s="9">
        <v>28.51</v>
      </c>
      <c r="F37" s="29">
        <v>10</v>
      </c>
    </row>
    <row r="38" spans="1:6" x14ac:dyDescent="0.2">
      <c r="A38" s="6" t="s">
        <v>125</v>
      </c>
      <c r="B38" s="7">
        <v>83.3</v>
      </c>
      <c r="C38" s="6">
        <v>15.71</v>
      </c>
      <c r="D38" s="6">
        <v>2.92</v>
      </c>
      <c r="E38" s="6">
        <v>22.78</v>
      </c>
      <c r="F38" s="28">
        <v>7</v>
      </c>
    </row>
    <row r="39" spans="1:6" x14ac:dyDescent="0.2">
      <c r="A39" s="9" t="s">
        <v>76</v>
      </c>
      <c r="B39" s="10">
        <v>81.3</v>
      </c>
      <c r="C39" s="9">
        <v>19.21</v>
      </c>
      <c r="D39" s="9">
        <v>5.75</v>
      </c>
      <c r="E39" s="9">
        <v>23.18</v>
      </c>
      <c r="F39" s="29">
        <v>6.64</v>
      </c>
    </row>
    <row r="40" spans="1:6" x14ac:dyDescent="0.2">
      <c r="A40" s="6" t="s">
        <v>68</v>
      </c>
      <c r="B40" s="7">
        <v>70</v>
      </c>
      <c r="C40" s="6">
        <v>21.91</v>
      </c>
      <c r="D40" s="6">
        <v>7.93</v>
      </c>
      <c r="E40" s="6">
        <v>21.64</v>
      </c>
      <c r="F40" s="28">
        <v>4.57</v>
      </c>
    </row>
    <row r="41" spans="1:6" x14ac:dyDescent="0.2">
      <c r="A41" s="9" t="s">
        <v>52</v>
      </c>
      <c r="B41" s="10">
        <v>60</v>
      </c>
      <c r="C41" s="9">
        <v>23.88</v>
      </c>
      <c r="D41" s="9">
        <v>7.56</v>
      </c>
      <c r="E41" s="9">
        <v>20.38</v>
      </c>
      <c r="F41" s="29">
        <v>6.54</v>
      </c>
    </row>
    <row r="42" spans="1:6" x14ac:dyDescent="0.2">
      <c r="A42" s="6" t="s">
        <v>118</v>
      </c>
      <c r="B42" s="7">
        <v>50</v>
      </c>
      <c r="C42" s="6">
        <v>19.53</v>
      </c>
      <c r="D42" s="6">
        <v>7.92</v>
      </c>
      <c r="E42" s="6">
        <v>20.75</v>
      </c>
      <c r="F42" s="28">
        <v>14.3</v>
      </c>
    </row>
    <row r="43" spans="1:6" x14ac:dyDescent="0.2">
      <c r="A43" s="9" t="s">
        <v>36</v>
      </c>
      <c r="B43" s="10">
        <v>73.900000000000006</v>
      </c>
      <c r="C43" s="9">
        <v>25.2</v>
      </c>
      <c r="D43" s="9">
        <v>8.42</v>
      </c>
      <c r="E43" s="9">
        <v>20.03</v>
      </c>
      <c r="F43" s="29">
        <v>10.050000000000001</v>
      </c>
    </row>
    <row r="44" spans="1:6" x14ac:dyDescent="0.2">
      <c r="A44" s="6" t="s">
        <v>127</v>
      </c>
      <c r="B44" s="7">
        <v>76.5</v>
      </c>
      <c r="C44" s="6">
        <v>20.09</v>
      </c>
      <c r="D44" s="6">
        <v>6.65</v>
      </c>
      <c r="E44" s="6">
        <v>23.13</v>
      </c>
      <c r="F44" s="28">
        <v>11.06</v>
      </c>
    </row>
    <row r="45" spans="1:6" x14ac:dyDescent="0.2">
      <c r="A45" s="9" t="s">
        <v>86</v>
      </c>
      <c r="B45" s="10">
        <v>85.7</v>
      </c>
      <c r="C45" s="9">
        <v>20.260000000000002</v>
      </c>
      <c r="D45" s="9">
        <v>1.84</v>
      </c>
      <c r="E45" s="9">
        <v>20.11</v>
      </c>
      <c r="F45" s="29">
        <v>8.0500000000000007</v>
      </c>
    </row>
    <row r="46" spans="1:6" x14ac:dyDescent="0.2">
      <c r="A46" s="6" t="s">
        <v>65</v>
      </c>
      <c r="B46" s="7">
        <v>71.400000000000006</v>
      </c>
      <c r="C46" s="6">
        <v>22.62</v>
      </c>
      <c r="D46" s="6">
        <v>10.07</v>
      </c>
      <c r="E46" s="6">
        <v>18.440000000000001</v>
      </c>
      <c r="F46" s="28">
        <v>12.34</v>
      </c>
    </row>
    <row r="47" spans="1:6" x14ac:dyDescent="0.2">
      <c r="A47" s="9" t="s">
        <v>58</v>
      </c>
      <c r="B47" s="10">
        <v>90</v>
      </c>
      <c r="C47" s="9">
        <v>19.46</v>
      </c>
      <c r="D47" s="9">
        <v>10.38</v>
      </c>
      <c r="E47" s="9">
        <v>22.88</v>
      </c>
      <c r="F47" s="29">
        <v>4.75</v>
      </c>
    </row>
    <row r="48" spans="1:6" x14ac:dyDescent="0.2">
      <c r="A48" s="6" t="s">
        <v>21</v>
      </c>
      <c r="B48" s="7">
        <v>42.9</v>
      </c>
      <c r="C48" s="6">
        <v>24.72</v>
      </c>
      <c r="D48" s="6">
        <v>3.84</v>
      </c>
      <c r="E48" s="6">
        <v>18.77</v>
      </c>
      <c r="F48" s="28">
        <v>10.61</v>
      </c>
    </row>
    <row r="49" spans="1:6" x14ac:dyDescent="0.2">
      <c r="A49" s="9" t="s">
        <v>12</v>
      </c>
      <c r="B49" s="10">
        <v>66.7</v>
      </c>
      <c r="C49" s="9">
        <v>23.59</v>
      </c>
      <c r="D49" s="9">
        <v>4.95</v>
      </c>
      <c r="E49" s="9">
        <v>24.78</v>
      </c>
      <c r="F49" s="29">
        <v>0.54</v>
      </c>
    </row>
    <row r="50" spans="1:6" x14ac:dyDescent="0.2">
      <c r="A50" s="6" t="s">
        <v>70</v>
      </c>
      <c r="B50" s="7">
        <v>88.9</v>
      </c>
      <c r="C50" s="6">
        <v>21.62</v>
      </c>
      <c r="D50" s="6">
        <v>13.44</v>
      </c>
      <c r="E50" s="6">
        <v>20</v>
      </c>
      <c r="F50" s="28">
        <v>3.65</v>
      </c>
    </row>
    <row r="51" spans="1:6" x14ac:dyDescent="0.2">
      <c r="A51" s="9" t="s">
        <v>78</v>
      </c>
      <c r="B51" s="10">
        <v>76.5</v>
      </c>
      <c r="C51" s="9">
        <v>22.32</v>
      </c>
      <c r="D51" s="9">
        <v>11.71</v>
      </c>
      <c r="E51" s="9">
        <v>21.85</v>
      </c>
      <c r="F51" s="29">
        <v>8.0500000000000007</v>
      </c>
    </row>
    <row r="52" spans="1:6" x14ac:dyDescent="0.2">
      <c r="A52" s="6" t="s">
        <v>97</v>
      </c>
      <c r="B52" s="7">
        <v>60</v>
      </c>
      <c r="C52" s="6">
        <v>19.940000000000001</v>
      </c>
      <c r="D52" s="6">
        <v>5.28</v>
      </c>
      <c r="E52" s="6">
        <v>25.92</v>
      </c>
      <c r="F52" s="28">
        <v>6.2</v>
      </c>
    </row>
    <row r="53" spans="1:6" x14ac:dyDescent="0.2">
      <c r="A53" s="9" t="s">
        <v>1</v>
      </c>
      <c r="B53" s="10">
        <v>53.3</v>
      </c>
      <c r="C53" s="9">
        <v>18.059999999999999</v>
      </c>
      <c r="D53" s="9">
        <v>9.3000000000000007</v>
      </c>
      <c r="E53" s="9">
        <v>23</v>
      </c>
      <c r="F53" s="29">
        <v>11.6</v>
      </c>
    </row>
    <row r="54" spans="1:6" x14ac:dyDescent="0.2">
      <c r="A54" s="6" t="s">
        <v>39</v>
      </c>
      <c r="B54" s="7">
        <v>78.599999999999994</v>
      </c>
      <c r="C54" s="6">
        <v>21.28</v>
      </c>
      <c r="D54" s="6">
        <v>11</v>
      </c>
      <c r="E54" s="6">
        <v>18.579999999999998</v>
      </c>
      <c r="F54" s="28">
        <v>10.94</v>
      </c>
    </row>
    <row r="55" spans="1:6" x14ac:dyDescent="0.2">
      <c r="A55" s="9" t="s">
        <v>93</v>
      </c>
      <c r="B55" s="10">
        <v>33.299999999999997</v>
      </c>
      <c r="C55" s="9">
        <v>19.98</v>
      </c>
      <c r="D55" s="9">
        <v>3.47</v>
      </c>
      <c r="E55" s="9">
        <v>14.25</v>
      </c>
      <c r="F55" s="29">
        <v>7.56</v>
      </c>
    </row>
    <row r="56" spans="1:6" x14ac:dyDescent="0.2">
      <c r="A56" s="6" t="s">
        <v>84</v>
      </c>
      <c r="B56" s="7">
        <v>76.5</v>
      </c>
      <c r="C56" s="6">
        <v>18.43</v>
      </c>
      <c r="D56" s="6">
        <v>9</v>
      </c>
      <c r="E56" s="6">
        <v>21.44</v>
      </c>
      <c r="F56" s="28">
        <v>9.19</v>
      </c>
    </row>
    <row r="57" spans="1:6" x14ac:dyDescent="0.2">
      <c r="A57" s="9" t="s">
        <v>104</v>
      </c>
      <c r="B57" s="10">
        <v>75</v>
      </c>
      <c r="C57" s="9">
        <v>23.68</v>
      </c>
      <c r="D57" s="9">
        <v>10.55</v>
      </c>
      <c r="E57" s="9">
        <v>22.95</v>
      </c>
      <c r="F57" s="29">
        <v>16.23</v>
      </c>
    </row>
    <row r="58" spans="1:6" x14ac:dyDescent="0.2">
      <c r="A58" s="6" t="s">
        <v>91</v>
      </c>
      <c r="B58" s="7">
        <v>57.1</v>
      </c>
      <c r="C58" s="6">
        <v>19.3</v>
      </c>
      <c r="D58" s="6">
        <v>10.74</v>
      </c>
      <c r="E58" s="6">
        <v>22.05</v>
      </c>
      <c r="F58" s="28">
        <v>6.81</v>
      </c>
    </row>
    <row r="59" spans="1:6" x14ac:dyDescent="0.2">
      <c r="A59" s="9" t="s">
        <v>107</v>
      </c>
      <c r="B59" s="10">
        <v>80</v>
      </c>
      <c r="C59" s="9">
        <v>23.44</v>
      </c>
      <c r="D59" s="9">
        <v>7.71</v>
      </c>
      <c r="E59" s="9">
        <v>21</v>
      </c>
      <c r="F59" s="29">
        <v>5.43</v>
      </c>
    </row>
    <row r="60" spans="1:6" x14ac:dyDescent="0.2">
      <c r="A60" s="6" t="s">
        <v>34</v>
      </c>
      <c r="B60" s="7">
        <v>81.8</v>
      </c>
      <c r="C60" s="6">
        <v>20.48</v>
      </c>
      <c r="D60" s="6">
        <v>15.64</v>
      </c>
      <c r="E60" s="6">
        <v>20.87</v>
      </c>
      <c r="F60" s="28">
        <v>9.1300000000000008</v>
      </c>
    </row>
    <row r="61" spans="1:6" x14ac:dyDescent="0.2">
      <c r="A61" s="9" t="s">
        <v>35</v>
      </c>
      <c r="B61" s="10">
        <v>63.2</v>
      </c>
      <c r="C61" s="9">
        <v>18.55</v>
      </c>
      <c r="D61" s="9">
        <v>11.11</v>
      </c>
      <c r="E61" s="9">
        <v>20</v>
      </c>
      <c r="F61" s="29">
        <v>4.96</v>
      </c>
    </row>
    <row r="62" spans="1:6" x14ac:dyDescent="0.2">
      <c r="A62" s="6" t="s">
        <v>10</v>
      </c>
      <c r="B62" s="7">
        <v>64</v>
      </c>
      <c r="C62" s="6">
        <v>21.98</v>
      </c>
      <c r="D62" s="6">
        <v>8.89</v>
      </c>
      <c r="E62" s="6">
        <v>18.190000000000001</v>
      </c>
      <c r="F62" s="28">
        <v>5.71</v>
      </c>
    </row>
    <row r="63" spans="1:6" x14ac:dyDescent="0.2">
      <c r="A63" s="9" t="s">
        <v>49</v>
      </c>
      <c r="B63" s="10">
        <v>66.7</v>
      </c>
      <c r="C63" s="9">
        <v>20.58</v>
      </c>
      <c r="D63" s="9">
        <v>7.46</v>
      </c>
      <c r="E63" s="9">
        <v>24.54</v>
      </c>
      <c r="F63" s="29">
        <v>4.67</v>
      </c>
    </row>
    <row r="64" spans="1:6" x14ac:dyDescent="0.2">
      <c r="A64" s="6" t="s">
        <v>83</v>
      </c>
      <c r="B64" s="7">
        <v>82.6</v>
      </c>
      <c r="C64" s="6">
        <v>25.47</v>
      </c>
      <c r="D64" s="6">
        <v>7.42</v>
      </c>
      <c r="E64" s="6">
        <v>24.04</v>
      </c>
      <c r="F64" s="28">
        <v>11.78</v>
      </c>
    </row>
    <row r="65" spans="1:6" x14ac:dyDescent="0.2">
      <c r="A65" s="9" t="s">
        <v>69</v>
      </c>
      <c r="B65" s="10">
        <v>70</v>
      </c>
      <c r="C65" s="9">
        <v>20.89</v>
      </c>
      <c r="D65" s="9">
        <v>11.81</v>
      </c>
      <c r="E65" s="9">
        <v>23.43</v>
      </c>
      <c r="F65" s="29">
        <v>13.47</v>
      </c>
    </row>
    <row r="66" spans="1:6" x14ac:dyDescent="0.2">
      <c r="A66" s="6" t="s">
        <v>111</v>
      </c>
      <c r="B66" s="7">
        <v>50</v>
      </c>
      <c r="C66" s="6">
        <v>21.32</v>
      </c>
      <c r="D66" s="6">
        <v>1.33</v>
      </c>
      <c r="E66" s="6">
        <v>24.07</v>
      </c>
      <c r="F66" s="28">
        <v>11.97</v>
      </c>
    </row>
    <row r="67" spans="1:6" x14ac:dyDescent="0.2">
      <c r="A67" s="9" t="s">
        <v>50</v>
      </c>
      <c r="B67" s="10">
        <v>58.3</v>
      </c>
      <c r="C67" s="9">
        <v>23.63</v>
      </c>
      <c r="D67" s="9">
        <v>5.6</v>
      </c>
      <c r="E67" s="9">
        <v>23.1</v>
      </c>
      <c r="F67" s="29">
        <v>15.73</v>
      </c>
    </row>
    <row r="68" spans="1:6" x14ac:dyDescent="0.2">
      <c r="A68" s="6" t="s">
        <v>82</v>
      </c>
      <c r="B68" s="7">
        <v>63.6</v>
      </c>
      <c r="C68" s="6">
        <v>23.14</v>
      </c>
      <c r="D68" s="6">
        <v>4.1100000000000003</v>
      </c>
      <c r="E68" s="6">
        <v>19.54</v>
      </c>
      <c r="F68" s="28">
        <v>4.63</v>
      </c>
    </row>
    <row r="69" spans="1:6" x14ac:dyDescent="0.2">
      <c r="A69" s="9" t="s">
        <v>46</v>
      </c>
      <c r="B69" s="10">
        <v>68.8</v>
      </c>
      <c r="C69" s="9">
        <v>21.56</v>
      </c>
      <c r="D69" s="9">
        <v>10.95</v>
      </c>
      <c r="E69" s="9">
        <v>22.56</v>
      </c>
      <c r="F69" s="29">
        <v>4.3099999999999996</v>
      </c>
    </row>
    <row r="70" spans="1:6" x14ac:dyDescent="0.2">
      <c r="A70" s="6" t="s">
        <v>16</v>
      </c>
      <c r="B70" s="7">
        <v>50</v>
      </c>
      <c r="C70" s="6">
        <v>18.88</v>
      </c>
      <c r="D70" s="6">
        <v>4.3099999999999996</v>
      </c>
      <c r="E70" s="6">
        <v>22.82</v>
      </c>
      <c r="F70" s="28">
        <v>4.67</v>
      </c>
    </row>
    <row r="71" spans="1:6" x14ac:dyDescent="0.2">
      <c r="A71" s="9" t="s">
        <v>51</v>
      </c>
      <c r="B71" s="10">
        <v>71.400000000000006</v>
      </c>
      <c r="C71" s="9">
        <v>19.809999999999999</v>
      </c>
      <c r="D71" s="9">
        <v>6.81</v>
      </c>
      <c r="E71" s="9">
        <v>20.83</v>
      </c>
      <c r="F71" s="29">
        <v>1</v>
      </c>
    </row>
    <row r="72" spans="1:6" x14ac:dyDescent="0.2">
      <c r="A72" s="6" t="s">
        <v>55</v>
      </c>
      <c r="B72" s="7">
        <v>60</v>
      </c>
      <c r="C72" s="6">
        <v>21.52</v>
      </c>
      <c r="D72" s="6">
        <v>15.88</v>
      </c>
      <c r="E72" s="6">
        <v>19.170000000000002</v>
      </c>
      <c r="F72" s="28">
        <v>12.6</v>
      </c>
    </row>
    <row r="73" spans="1:6" x14ac:dyDescent="0.2">
      <c r="A73" s="9" t="s">
        <v>23</v>
      </c>
      <c r="B73" s="10">
        <v>62.5</v>
      </c>
      <c r="C73" s="9">
        <v>22.88</v>
      </c>
      <c r="D73" s="9">
        <v>3.69</v>
      </c>
      <c r="E73" s="9">
        <v>22.43</v>
      </c>
      <c r="F73" s="29">
        <v>10.73</v>
      </c>
    </row>
    <row r="74" spans="1:6" x14ac:dyDescent="0.2">
      <c r="A74" s="6" t="s">
        <v>13</v>
      </c>
      <c r="B74" s="7">
        <v>73.5</v>
      </c>
      <c r="C74" s="6">
        <v>21.64</v>
      </c>
      <c r="D74" s="6">
        <v>7.73</v>
      </c>
      <c r="E74" s="6">
        <v>19.260000000000002</v>
      </c>
      <c r="F74" s="28">
        <v>4</v>
      </c>
    </row>
    <row r="75" spans="1:6" x14ac:dyDescent="0.2">
      <c r="A75" s="9" t="s">
        <v>4</v>
      </c>
      <c r="B75" s="10">
        <v>84.2</v>
      </c>
      <c r="C75" s="9">
        <v>24.64</v>
      </c>
      <c r="D75" s="9">
        <v>10.19</v>
      </c>
      <c r="E75" s="9">
        <v>20.21</v>
      </c>
      <c r="F75" s="29">
        <v>6.58</v>
      </c>
    </row>
    <row r="76" spans="1:6" x14ac:dyDescent="0.2">
      <c r="A76" s="6" t="s">
        <v>3</v>
      </c>
      <c r="B76" s="7">
        <v>89.3</v>
      </c>
      <c r="C76" s="6">
        <v>21.61</v>
      </c>
      <c r="D76" s="6">
        <v>8.67</v>
      </c>
      <c r="E76" s="6">
        <v>19.850000000000001</v>
      </c>
      <c r="F76" s="28">
        <v>11.58</v>
      </c>
    </row>
    <row r="77" spans="1:6" x14ac:dyDescent="0.2">
      <c r="A77" s="9" t="s">
        <v>2</v>
      </c>
      <c r="B77" s="10">
        <v>88</v>
      </c>
      <c r="C77" s="9">
        <v>22.25</v>
      </c>
      <c r="D77" s="9">
        <v>3.43</v>
      </c>
      <c r="E77" s="9">
        <v>24.21</v>
      </c>
      <c r="F77" s="29">
        <v>11.13</v>
      </c>
    </row>
    <row r="78" spans="1:6" x14ac:dyDescent="0.2">
      <c r="A78" s="6" t="s">
        <v>18</v>
      </c>
      <c r="B78" s="7">
        <v>64.3</v>
      </c>
      <c r="C78" s="6">
        <v>24.48</v>
      </c>
      <c r="D78" s="6">
        <v>9.5500000000000007</v>
      </c>
      <c r="E78" s="6">
        <v>19.87</v>
      </c>
      <c r="F78" s="28">
        <v>7.82</v>
      </c>
    </row>
    <row r="79" spans="1:6" x14ac:dyDescent="0.2">
      <c r="A79" s="9" t="s">
        <v>112</v>
      </c>
      <c r="B79" s="10">
        <v>68.2</v>
      </c>
      <c r="C79" s="9">
        <v>22.02</v>
      </c>
      <c r="D79" s="9">
        <v>15.08</v>
      </c>
      <c r="E79" s="9">
        <v>20.6</v>
      </c>
      <c r="F79" s="29">
        <v>14</v>
      </c>
    </row>
    <row r="80" spans="1:6" x14ac:dyDescent="0.2">
      <c r="A80" s="6" t="s">
        <v>6</v>
      </c>
      <c r="B80" s="7">
        <v>66.7</v>
      </c>
      <c r="C80" s="6">
        <v>22.81</v>
      </c>
      <c r="D80" s="6">
        <v>7.61</v>
      </c>
      <c r="E80" s="6">
        <v>22</v>
      </c>
      <c r="F80" s="28">
        <v>7.53</v>
      </c>
    </row>
    <row r="81" spans="1:6" x14ac:dyDescent="0.2">
      <c r="A81" s="9" t="s">
        <v>99</v>
      </c>
      <c r="B81" s="10">
        <v>67.7</v>
      </c>
      <c r="C81" s="9">
        <v>21.48</v>
      </c>
      <c r="D81" s="9">
        <v>6.11</v>
      </c>
      <c r="E81" s="9">
        <v>18.350000000000001</v>
      </c>
      <c r="F81" s="29">
        <v>4.72</v>
      </c>
    </row>
    <row r="82" spans="1:6" x14ac:dyDescent="0.2">
      <c r="A82" s="6" t="s">
        <v>96</v>
      </c>
      <c r="B82" s="7">
        <v>76</v>
      </c>
      <c r="C82" s="6">
        <v>28.68</v>
      </c>
      <c r="D82" s="6">
        <v>5.91</v>
      </c>
      <c r="E82" s="6">
        <v>24.2</v>
      </c>
      <c r="F82" s="28">
        <v>6.2</v>
      </c>
    </row>
    <row r="83" spans="1:6" x14ac:dyDescent="0.2">
      <c r="A83" s="9" t="s">
        <v>123</v>
      </c>
      <c r="B83" s="10">
        <v>81</v>
      </c>
      <c r="C83" s="9">
        <v>19.41</v>
      </c>
      <c r="D83" s="9">
        <v>8.9600000000000009</v>
      </c>
      <c r="E83" s="9">
        <v>21.86</v>
      </c>
      <c r="F83" s="29">
        <v>6.23</v>
      </c>
    </row>
    <row r="84" spans="1:6" x14ac:dyDescent="0.2">
      <c r="A84" s="6" t="s">
        <v>119</v>
      </c>
      <c r="B84" s="7">
        <v>64.5</v>
      </c>
      <c r="C84" s="6">
        <v>23.13</v>
      </c>
      <c r="D84" s="6">
        <v>6.5</v>
      </c>
      <c r="E84" s="6">
        <v>23.32</v>
      </c>
      <c r="F84" s="28">
        <v>5.96</v>
      </c>
    </row>
    <row r="85" spans="1:6" x14ac:dyDescent="0.2">
      <c r="A85" s="9" t="s">
        <v>48</v>
      </c>
      <c r="B85" s="10">
        <v>40</v>
      </c>
      <c r="C85" s="9">
        <v>20.61</v>
      </c>
      <c r="D85" s="9">
        <v>5.23</v>
      </c>
      <c r="E85" s="9">
        <v>24.52</v>
      </c>
      <c r="F85" s="29">
        <v>9.25</v>
      </c>
    </row>
    <row r="86" spans="1:6" x14ac:dyDescent="0.2">
      <c r="A86" s="6" t="s">
        <v>124</v>
      </c>
      <c r="B86" s="7">
        <v>66.7</v>
      </c>
      <c r="C86" s="6">
        <v>21.81</v>
      </c>
      <c r="D86" s="6">
        <v>7.88</v>
      </c>
      <c r="E86" s="6">
        <v>21.65</v>
      </c>
      <c r="F86" s="28">
        <v>8.9499999999999993</v>
      </c>
    </row>
    <row r="87" spans="1:6" x14ac:dyDescent="0.2">
      <c r="A87" s="9" t="s">
        <v>7</v>
      </c>
      <c r="B87" s="10">
        <v>66.7</v>
      </c>
      <c r="C87" s="9">
        <v>19.97</v>
      </c>
      <c r="D87" s="9">
        <v>10.33</v>
      </c>
      <c r="E87" s="9">
        <v>20.96</v>
      </c>
      <c r="F87" s="29">
        <v>4.6399999999999997</v>
      </c>
    </row>
    <row r="88" spans="1:6" x14ac:dyDescent="0.2">
      <c r="A88" s="6" t="s">
        <v>98</v>
      </c>
      <c r="B88" s="7">
        <v>63.6</v>
      </c>
      <c r="C88" s="6">
        <v>21.84</v>
      </c>
      <c r="D88" s="6">
        <v>7.8</v>
      </c>
      <c r="E88" s="6">
        <v>21.98</v>
      </c>
      <c r="F88" s="28">
        <v>6.94</v>
      </c>
    </row>
    <row r="89" spans="1:6" x14ac:dyDescent="0.2">
      <c r="A89" s="9" t="s">
        <v>15</v>
      </c>
      <c r="B89" s="10">
        <v>73.099999999999994</v>
      </c>
      <c r="C89" s="9">
        <v>20.67</v>
      </c>
      <c r="D89" s="9">
        <v>6.52</v>
      </c>
      <c r="E89" s="9">
        <v>24.75</v>
      </c>
      <c r="F89" s="29">
        <v>2.11</v>
      </c>
    </row>
    <row r="90" spans="1:6" x14ac:dyDescent="0.2">
      <c r="A90" s="6" t="s">
        <v>47</v>
      </c>
      <c r="B90" s="7">
        <v>69.400000000000006</v>
      </c>
      <c r="C90" s="6">
        <v>22.58</v>
      </c>
      <c r="D90" s="6">
        <v>12.8</v>
      </c>
      <c r="E90" s="6">
        <v>21.48</v>
      </c>
      <c r="F90" s="28">
        <v>6.13</v>
      </c>
    </row>
    <row r="91" spans="1:6" x14ac:dyDescent="0.2">
      <c r="A91" s="9" t="s">
        <v>37</v>
      </c>
      <c r="B91" s="10">
        <v>70.8</v>
      </c>
      <c r="C91" s="9">
        <v>22.55</v>
      </c>
      <c r="D91" s="9">
        <v>11.32</v>
      </c>
      <c r="E91" s="9">
        <v>21.31</v>
      </c>
      <c r="F91" s="29">
        <v>6.36</v>
      </c>
    </row>
    <row r="92" spans="1:6" x14ac:dyDescent="0.2">
      <c r="A92" s="6" t="s">
        <v>75</v>
      </c>
      <c r="B92" s="7">
        <v>78.900000000000006</v>
      </c>
      <c r="C92" s="6">
        <v>22.64</v>
      </c>
      <c r="D92" s="6">
        <v>3.08</v>
      </c>
      <c r="E92" s="6">
        <v>23.65</v>
      </c>
      <c r="F92" s="28">
        <v>7.56</v>
      </c>
    </row>
    <row r="93" spans="1:6" x14ac:dyDescent="0.2">
      <c r="A93" s="9" t="s">
        <v>27</v>
      </c>
      <c r="B93" s="10">
        <v>82.4</v>
      </c>
      <c r="C93" s="9">
        <v>28.23</v>
      </c>
      <c r="D93" s="9">
        <v>9.9700000000000006</v>
      </c>
      <c r="E93" s="9">
        <v>20.99</v>
      </c>
      <c r="F93" s="29">
        <v>7.44</v>
      </c>
    </row>
    <row r="94" spans="1:6" x14ac:dyDescent="0.2">
      <c r="A94" s="6" t="s">
        <v>90</v>
      </c>
      <c r="B94" s="7">
        <v>72.7</v>
      </c>
      <c r="C94" s="6">
        <v>25.42</v>
      </c>
      <c r="D94" s="6">
        <v>11.33</v>
      </c>
      <c r="E94" s="6">
        <v>19.260000000000002</v>
      </c>
      <c r="F94" s="28">
        <v>5.95</v>
      </c>
    </row>
    <row r="95" spans="1:6" x14ac:dyDescent="0.2">
      <c r="A95" s="9" t="s">
        <v>117</v>
      </c>
      <c r="B95" s="10">
        <v>66.7</v>
      </c>
      <c r="C95" s="9">
        <v>22.7</v>
      </c>
      <c r="D95" s="9">
        <v>8.1300000000000008</v>
      </c>
      <c r="E95" s="9">
        <v>18.100000000000001</v>
      </c>
      <c r="F95" s="29">
        <v>10.210000000000001</v>
      </c>
    </row>
    <row r="96" spans="1:6" x14ac:dyDescent="0.2">
      <c r="A96" s="6" t="s">
        <v>61</v>
      </c>
      <c r="B96" s="7">
        <v>81</v>
      </c>
      <c r="C96" s="6">
        <v>24.08</v>
      </c>
      <c r="D96" s="6">
        <v>14.16</v>
      </c>
      <c r="E96" s="6">
        <v>23.76</v>
      </c>
      <c r="F96" s="28">
        <v>8.94</v>
      </c>
    </row>
    <row r="97" spans="1:6" x14ac:dyDescent="0.2">
      <c r="A97" s="9" t="s">
        <v>43</v>
      </c>
      <c r="B97" s="10">
        <v>87.9</v>
      </c>
      <c r="C97" s="9">
        <v>21.64</v>
      </c>
      <c r="D97" s="9">
        <v>13.59</v>
      </c>
      <c r="E97" s="9">
        <v>20.3</v>
      </c>
      <c r="F97" s="29">
        <v>17.25</v>
      </c>
    </row>
    <row r="98" spans="1:6" x14ac:dyDescent="0.2">
      <c r="A98" s="6" t="s">
        <v>28</v>
      </c>
      <c r="B98" s="7">
        <v>77.8</v>
      </c>
      <c r="C98" s="6">
        <v>22.02</v>
      </c>
      <c r="D98" s="6">
        <v>6.07</v>
      </c>
      <c r="E98" s="6">
        <v>23.47</v>
      </c>
      <c r="F98" s="28">
        <v>5.19</v>
      </c>
    </row>
    <row r="99" spans="1:6" x14ac:dyDescent="0.2">
      <c r="A99" s="9" t="s">
        <v>14</v>
      </c>
      <c r="B99" s="10">
        <v>78.900000000000006</v>
      </c>
      <c r="C99" s="9">
        <v>19.2</v>
      </c>
      <c r="D99" s="9">
        <v>12</v>
      </c>
      <c r="E99" s="9">
        <v>22.06</v>
      </c>
      <c r="F99" s="29">
        <v>9.6199999999999992</v>
      </c>
    </row>
    <row r="100" spans="1:6" x14ac:dyDescent="0.2">
      <c r="A100" s="6" t="s">
        <v>53</v>
      </c>
      <c r="B100" s="7">
        <v>57.1</v>
      </c>
      <c r="C100" s="6">
        <v>19.690000000000001</v>
      </c>
      <c r="D100" s="6">
        <v>7.7</v>
      </c>
      <c r="E100" s="6">
        <v>20.41</v>
      </c>
      <c r="F100" s="28">
        <v>11.47</v>
      </c>
    </row>
    <row r="101" spans="1:6" x14ac:dyDescent="0.2">
      <c r="A101" s="9" t="s">
        <v>74</v>
      </c>
      <c r="B101" s="10">
        <v>61.1</v>
      </c>
      <c r="C101" s="9">
        <v>20.079999999999998</v>
      </c>
      <c r="D101" s="9">
        <v>9.7799999999999994</v>
      </c>
      <c r="E101" s="9">
        <v>25.18</v>
      </c>
      <c r="F101" s="29">
        <v>12.93</v>
      </c>
    </row>
    <row r="102" spans="1:6" x14ac:dyDescent="0.2">
      <c r="A102" s="6" t="s">
        <v>59</v>
      </c>
      <c r="B102" s="7">
        <v>83.3</v>
      </c>
      <c r="C102" s="6">
        <v>21.86</v>
      </c>
      <c r="D102" s="6">
        <v>5.86</v>
      </c>
      <c r="E102" s="6">
        <v>20.66</v>
      </c>
      <c r="F102" s="28">
        <v>8.56</v>
      </c>
    </row>
    <row r="103" spans="1:6" x14ac:dyDescent="0.2">
      <c r="A103" s="9" t="s">
        <v>56</v>
      </c>
      <c r="B103" s="10">
        <v>84.2</v>
      </c>
      <c r="C103" s="9">
        <v>20</v>
      </c>
      <c r="D103" s="9">
        <v>10.210000000000001</v>
      </c>
      <c r="E103" s="9">
        <v>24.24</v>
      </c>
      <c r="F103" s="29">
        <v>4.71</v>
      </c>
    </row>
    <row r="104" spans="1:6" x14ac:dyDescent="0.2">
      <c r="A104" s="6" t="s">
        <v>0</v>
      </c>
      <c r="B104" s="7">
        <v>62.5</v>
      </c>
      <c r="C104" s="6">
        <v>26.93</v>
      </c>
      <c r="D104" s="6">
        <v>8.3800000000000008</v>
      </c>
      <c r="E104" s="6">
        <v>17.96</v>
      </c>
      <c r="F104" s="28">
        <v>14.57</v>
      </c>
    </row>
    <row r="105" spans="1:6" x14ac:dyDescent="0.2">
      <c r="A105" s="9" t="s">
        <v>31</v>
      </c>
      <c r="B105" s="10">
        <v>64.7</v>
      </c>
      <c r="C105" s="9">
        <v>20.9</v>
      </c>
      <c r="D105" s="9">
        <v>3.06</v>
      </c>
      <c r="E105" s="9">
        <v>24.05</v>
      </c>
      <c r="F105" s="29">
        <v>9.1300000000000008</v>
      </c>
    </row>
    <row r="106" spans="1:6" x14ac:dyDescent="0.2">
      <c r="A106" s="6" t="s">
        <v>62</v>
      </c>
      <c r="B106" s="7">
        <v>64.3</v>
      </c>
      <c r="C106" s="6">
        <v>23.73</v>
      </c>
      <c r="D106" s="6">
        <v>4.8499999999999996</v>
      </c>
      <c r="E106" s="6">
        <v>23.67</v>
      </c>
      <c r="F106" s="28">
        <v>10.87</v>
      </c>
    </row>
    <row r="107" spans="1:6" x14ac:dyDescent="0.2">
      <c r="A107" s="9" t="s">
        <v>26</v>
      </c>
      <c r="B107" s="10">
        <v>88.2</v>
      </c>
      <c r="C107" s="9">
        <v>20.71</v>
      </c>
      <c r="D107" s="9">
        <v>10.27</v>
      </c>
      <c r="E107" s="9">
        <v>23.5</v>
      </c>
      <c r="F107" s="29">
        <v>10.4</v>
      </c>
    </row>
    <row r="108" spans="1:6" x14ac:dyDescent="0.2">
      <c r="A108" s="6" t="s">
        <v>57</v>
      </c>
      <c r="B108" s="7">
        <v>72</v>
      </c>
      <c r="C108" s="6">
        <v>23.05</v>
      </c>
      <c r="D108" s="6">
        <v>9.0299999999999994</v>
      </c>
      <c r="E108" s="6">
        <v>18.02</v>
      </c>
      <c r="F108" s="28">
        <v>4.6399999999999997</v>
      </c>
    </row>
    <row r="109" spans="1:6" x14ac:dyDescent="0.2">
      <c r="A109" s="9" t="s">
        <v>44</v>
      </c>
      <c r="B109" s="10">
        <v>54.5</v>
      </c>
      <c r="C109" s="9">
        <v>22.8</v>
      </c>
      <c r="D109" s="9">
        <v>7.81</v>
      </c>
      <c r="E109" s="9">
        <v>25.69</v>
      </c>
      <c r="F109" s="29">
        <v>8.5</v>
      </c>
    </row>
    <row r="110" spans="1:6" x14ac:dyDescent="0.2">
      <c r="A110" s="6" t="s">
        <v>128</v>
      </c>
      <c r="B110" s="7">
        <v>58.3</v>
      </c>
      <c r="C110" s="6">
        <v>26.35</v>
      </c>
      <c r="D110" s="6">
        <v>10</v>
      </c>
      <c r="E110" s="6">
        <v>23.51</v>
      </c>
      <c r="F110" s="28">
        <v>6.82</v>
      </c>
    </row>
    <row r="111" spans="1:6" x14ac:dyDescent="0.2">
      <c r="A111" s="9" t="s">
        <v>92</v>
      </c>
      <c r="B111" s="10">
        <v>57.1</v>
      </c>
      <c r="C111" s="9">
        <v>21.93</v>
      </c>
      <c r="D111" s="9">
        <v>6.33</v>
      </c>
      <c r="E111" s="9">
        <v>20.059999999999999</v>
      </c>
      <c r="F111" s="29">
        <v>3.87</v>
      </c>
    </row>
    <row r="112" spans="1:6" x14ac:dyDescent="0.2">
      <c r="A112" s="6" t="s">
        <v>100</v>
      </c>
      <c r="B112" s="7">
        <v>69.599999999999994</v>
      </c>
      <c r="C112" s="6">
        <v>21.88</v>
      </c>
      <c r="D112" s="6">
        <v>5.77</v>
      </c>
      <c r="E112" s="6">
        <v>21.78</v>
      </c>
      <c r="F112" s="28">
        <v>8.1999999999999993</v>
      </c>
    </row>
    <row r="113" spans="1:6" x14ac:dyDescent="0.2">
      <c r="A113" s="9" t="s">
        <v>64</v>
      </c>
      <c r="B113" s="10">
        <v>72</v>
      </c>
      <c r="C113" s="9">
        <v>20.02</v>
      </c>
      <c r="D113" s="9">
        <v>10.77</v>
      </c>
      <c r="E113" s="9">
        <v>20.67</v>
      </c>
      <c r="F113" s="29">
        <v>4.12</v>
      </c>
    </row>
    <row r="114" spans="1:6" x14ac:dyDescent="0.2">
      <c r="A114" s="6" t="s">
        <v>32</v>
      </c>
      <c r="B114" s="7">
        <v>77.3</v>
      </c>
      <c r="C114" s="6">
        <v>19.59</v>
      </c>
      <c r="D114" s="6">
        <v>6.73</v>
      </c>
      <c r="E114" s="6">
        <v>21.8</v>
      </c>
      <c r="F114" s="28">
        <v>5.81</v>
      </c>
    </row>
    <row r="115" spans="1:6" x14ac:dyDescent="0.2">
      <c r="A115" s="9" t="s">
        <v>17</v>
      </c>
      <c r="B115" s="10">
        <v>68.8</v>
      </c>
      <c r="C115" s="9">
        <v>23.35</v>
      </c>
      <c r="D115" s="9">
        <v>9.24</v>
      </c>
      <c r="E115" s="9">
        <v>23.68</v>
      </c>
      <c r="F115" s="29">
        <v>4.82</v>
      </c>
    </row>
    <row r="116" spans="1:6" x14ac:dyDescent="0.2">
      <c r="A116" s="6" t="s">
        <v>41</v>
      </c>
      <c r="B116" s="7">
        <v>83.3</v>
      </c>
      <c r="C116" s="6">
        <v>22.85</v>
      </c>
      <c r="D116" s="6">
        <v>3.83</v>
      </c>
      <c r="E116" s="6">
        <v>23.67</v>
      </c>
      <c r="F116" s="28">
        <v>7.95</v>
      </c>
    </row>
    <row r="117" spans="1:6" x14ac:dyDescent="0.2">
      <c r="A117" s="9" t="s">
        <v>20</v>
      </c>
      <c r="B117" s="10">
        <v>72.7</v>
      </c>
      <c r="C117" s="9">
        <v>23.67</v>
      </c>
      <c r="D117" s="9">
        <v>11.76</v>
      </c>
      <c r="E117" s="9">
        <v>23.82</v>
      </c>
      <c r="F117" s="29">
        <v>10.56</v>
      </c>
    </row>
    <row r="118" spans="1:6" x14ac:dyDescent="0.2">
      <c r="A118" s="6" t="s">
        <v>80</v>
      </c>
      <c r="B118" s="7">
        <v>25</v>
      </c>
      <c r="C118" s="6">
        <v>26.09</v>
      </c>
      <c r="D118" s="6">
        <v>5.65</v>
      </c>
      <c r="E118" s="6">
        <v>18.75</v>
      </c>
      <c r="F118" s="28">
        <v>5.19</v>
      </c>
    </row>
    <row r="119" spans="1:6" x14ac:dyDescent="0.2">
      <c r="A119" s="9" t="s">
        <v>29</v>
      </c>
      <c r="B119" s="10">
        <v>72.7</v>
      </c>
      <c r="C119" s="9">
        <v>22.4</v>
      </c>
      <c r="D119" s="9">
        <v>9.9499999999999993</v>
      </c>
      <c r="E119" s="9">
        <v>19.04</v>
      </c>
      <c r="F119" s="29">
        <v>5.9</v>
      </c>
    </row>
    <row r="120" spans="1:6" x14ac:dyDescent="0.2">
      <c r="A120" s="6" t="s">
        <v>25</v>
      </c>
      <c r="B120" s="7">
        <v>72.7</v>
      </c>
      <c r="C120" s="6">
        <v>21.88</v>
      </c>
      <c r="D120" s="6">
        <v>15.09</v>
      </c>
      <c r="E120" s="6">
        <v>22.81</v>
      </c>
      <c r="F120" s="28">
        <v>7.67</v>
      </c>
    </row>
    <row r="121" spans="1:6" x14ac:dyDescent="0.2">
      <c r="A121" s="2" t="s">
        <v>106</v>
      </c>
      <c r="B121" s="4">
        <v>63.6</v>
      </c>
      <c r="C121" s="2">
        <v>20.83</v>
      </c>
      <c r="D121" s="2">
        <v>12.53</v>
      </c>
      <c r="E121" s="2">
        <v>22.21</v>
      </c>
      <c r="F121" s="30">
        <v>5.32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121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20.332031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53.8</v>
      </c>
      <c r="C2" s="6">
        <v>22.87</v>
      </c>
      <c r="D2" s="6">
        <v>9.65</v>
      </c>
      <c r="E2" s="6">
        <v>20.52</v>
      </c>
      <c r="F2" s="28">
        <v>3.75</v>
      </c>
      <c r="H2">
        <v>1</v>
      </c>
      <c r="I2" t="s">
        <v>19</v>
      </c>
      <c r="J2">
        <f>VLOOKUP(I2,'ST 2010'!$A$2:$F$121,2)</f>
        <v>77.3</v>
      </c>
      <c r="K2">
        <f>VLOOKUP(I2,'ST 2010'!$A$2:$F$121,3)</f>
        <v>23.52</v>
      </c>
      <c r="L2">
        <f>VLOOKUP(I2,'ST 2010'!$A$2:$F$121,4)</f>
        <v>6.18</v>
      </c>
      <c r="M2">
        <f>VLOOKUP(I2,'ST 2010'!$A$2:$F$121,5)</f>
        <v>19.690000000000001</v>
      </c>
      <c r="N2">
        <f>VLOOKUP(I2,'ST 2010'!$A$2:$F$121,6)</f>
        <v>4.55</v>
      </c>
      <c r="O2">
        <v>2010</v>
      </c>
    </row>
    <row r="3" spans="1:15" x14ac:dyDescent="0.2">
      <c r="A3" s="9" t="s">
        <v>103</v>
      </c>
      <c r="B3" s="10">
        <v>66.7</v>
      </c>
      <c r="C3" s="9">
        <v>18.88</v>
      </c>
      <c r="D3" s="9">
        <v>3.6</v>
      </c>
      <c r="E3" s="9">
        <v>20.82</v>
      </c>
      <c r="F3" s="29">
        <v>6.92</v>
      </c>
      <c r="H3">
        <v>2</v>
      </c>
      <c r="I3" t="s">
        <v>27</v>
      </c>
      <c r="J3">
        <f>VLOOKUP(I3,'ST 2010'!$A$2:$F$121,2)</f>
        <v>84.6</v>
      </c>
      <c r="K3">
        <f>VLOOKUP(I3,'ST 2010'!$A$2:$F$121,3)</f>
        <v>25.9</v>
      </c>
      <c r="L3">
        <f>VLOOKUP(I3,'ST 2010'!$A$2:$F$121,4)</f>
        <v>14.81</v>
      </c>
      <c r="M3">
        <f>VLOOKUP(I3,'ST 2010'!$A$2:$F$121,5)</f>
        <v>20.329999999999998</v>
      </c>
      <c r="N3">
        <f>VLOOKUP(I3,'ST 2010'!$A$2:$F$121,6)</f>
        <v>7.12</v>
      </c>
      <c r="O3">
        <v>2010</v>
      </c>
    </row>
    <row r="4" spans="1:15" x14ac:dyDescent="0.2">
      <c r="A4" s="6" t="s">
        <v>11</v>
      </c>
      <c r="B4" s="7">
        <v>76</v>
      </c>
      <c r="C4" s="6">
        <v>24.05</v>
      </c>
      <c r="D4" s="6">
        <v>12.46</v>
      </c>
      <c r="E4" s="6">
        <v>21.42</v>
      </c>
      <c r="F4" s="28">
        <v>6.4</v>
      </c>
      <c r="H4">
        <v>3</v>
      </c>
      <c r="I4" t="s">
        <v>18</v>
      </c>
      <c r="J4">
        <f>VLOOKUP(I4,'ST 2010'!$A$2:$F$121,2)</f>
        <v>76.5</v>
      </c>
      <c r="K4">
        <f>VLOOKUP(I4,'ST 2010'!$A$2:$F$121,3)</f>
        <v>21.39</v>
      </c>
      <c r="L4">
        <f>VLOOKUP(I4,'ST 2010'!$A$2:$F$121,4)</f>
        <v>16.98</v>
      </c>
      <c r="M4">
        <f>VLOOKUP(I4,'ST 2010'!$A$2:$F$121,5)</f>
        <v>19.28</v>
      </c>
      <c r="N4">
        <f>VLOOKUP(I4,'ST 2010'!$A$2:$F$121,6)</f>
        <v>9.17</v>
      </c>
      <c r="O4">
        <v>2010</v>
      </c>
    </row>
    <row r="5" spans="1:15" x14ac:dyDescent="0.2">
      <c r="A5" s="9" t="s">
        <v>5</v>
      </c>
      <c r="B5" s="10">
        <v>73.7</v>
      </c>
      <c r="C5" s="9">
        <v>22.98</v>
      </c>
      <c r="D5" s="9">
        <v>5.86</v>
      </c>
      <c r="E5" s="9">
        <v>20.7</v>
      </c>
      <c r="F5" s="29">
        <v>6.52</v>
      </c>
      <c r="H5">
        <v>4</v>
      </c>
      <c r="I5" t="s">
        <v>37</v>
      </c>
      <c r="J5">
        <f>VLOOKUP(I5,'ST 2010'!$A$2:$F$121,2)</f>
        <v>89.5</v>
      </c>
      <c r="K5">
        <f>VLOOKUP(I5,'ST 2010'!$A$2:$F$121,3)</f>
        <v>21.77</v>
      </c>
      <c r="L5">
        <f>VLOOKUP(I5,'ST 2010'!$A$2:$F$121,4)</f>
        <v>10.039999999999999</v>
      </c>
      <c r="M5">
        <f>VLOOKUP(I5,'ST 2010'!$A$2:$F$121,5)</f>
        <v>21.87</v>
      </c>
      <c r="N5">
        <f>VLOOKUP(I5,'ST 2010'!$A$2:$F$121,6)</f>
        <v>13</v>
      </c>
      <c r="O5">
        <v>2010</v>
      </c>
    </row>
    <row r="6" spans="1:15" x14ac:dyDescent="0.2">
      <c r="A6" s="6" t="s">
        <v>38</v>
      </c>
      <c r="B6" s="7">
        <v>70.8</v>
      </c>
      <c r="C6" s="6">
        <v>27.54</v>
      </c>
      <c r="D6" s="6">
        <v>9.09</v>
      </c>
      <c r="E6" s="6">
        <v>21.54</v>
      </c>
      <c r="F6" s="28">
        <v>12.3</v>
      </c>
      <c r="H6">
        <v>5</v>
      </c>
      <c r="I6" t="s">
        <v>4</v>
      </c>
      <c r="J6">
        <f>VLOOKUP(I6,'ST 2010'!$A$2:$F$121,2)</f>
        <v>76.900000000000006</v>
      </c>
      <c r="K6">
        <f>VLOOKUP(I6,'ST 2010'!$A$2:$F$121,3)</f>
        <v>26.38</v>
      </c>
      <c r="L6">
        <f>VLOOKUP(I6,'ST 2010'!$A$2:$F$121,4)</f>
        <v>9.6300000000000008</v>
      </c>
      <c r="M6">
        <f>VLOOKUP(I6,'ST 2010'!$A$2:$F$121,5)</f>
        <v>21.44</v>
      </c>
      <c r="N6">
        <f>VLOOKUP(I6,'ST 2010'!$A$2:$F$121,6)</f>
        <v>10.5</v>
      </c>
      <c r="O6">
        <v>2010</v>
      </c>
    </row>
    <row r="7" spans="1:15" x14ac:dyDescent="0.2">
      <c r="A7" s="9" t="s">
        <v>63</v>
      </c>
      <c r="B7" s="10">
        <v>84.2</v>
      </c>
      <c r="C7" s="9">
        <v>19.39</v>
      </c>
      <c r="D7" s="9">
        <v>15.55</v>
      </c>
      <c r="E7" s="9">
        <v>25.63</v>
      </c>
      <c r="F7" s="29">
        <v>5.41</v>
      </c>
      <c r="H7">
        <v>6</v>
      </c>
      <c r="I7" t="s">
        <v>3</v>
      </c>
      <c r="J7">
        <f>VLOOKUP(I7,'ST 2010'!$A$2:$F$121,2)</f>
        <v>79.3</v>
      </c>
      <c r="K7">
        <f>VLOOKUP(I7,'ST 2010'!$A$2:$F$121,3)</f>
        <v>22.26</v>
      </c>
      <c r="L7">
        <f>VLOOKUP(I7,'ST 2010'!$A$2:$F$121,4)</f>
        <v>8.5</v>
      </c>
      <c r="M7">
        <f>VLOOKUP(I7,'ST 2010'!$A$2:$F$121,5)</f>
        <v>21.54</v>
      </c>
      <c r="N7">
        <f>VLOOKUP(I7,'ST 2010'!$A$2:$F$121,6)</f>
        <v>3.04</v>
      </c>
      <c r="O7">
        <v>2010</v>
      </c>
    </row>
    <row r="8" spans="1:15" x14ac:dyDescent="0.2">
      <c r="A8" s="6" t="s">
        <v>8</v>
      </c>
      <c r="B8" s="7">
        <v>57.1</v>
      </c>
      <c r="C8" s="6">
        <v>21.39</v>
      </c>
      <c r="D8" s="6">
        <v>6.06</v>
      </c>
      <c r="E8" s="6">
        <v>20.76</v>
      </c>
      <c r="F8" s="28">
        <v>7.28</v>
      </c>
      <c r="H8">
        <v>7</v>
      </c>
      <c r="I8" t="s">
        <v>25</v>
      </c>
      <c r="J8">
        <f>VLOOKUP(I8,'ST 2010'!$A$2:$F$121,2)</f>
        <v>77.3</v>
      </c>
      <c r="K8">
        <f>VLOOKUP(I8,'ST 2010'!$A$2:$F$121,3)</f>
        <v>22.37</v>
      </c>
      <c r="L8">
        <f>VLOOKUP(I8,'ST 2010'!$A$2:$F$121,4)</f>
        <v>10.63</v>
      </c>
      <c r="M8">
        <f>VLOOKUP(I8,'ST 2010'!$A$2:$F$121,5)</f>
        <v>24.21</v>
      </c>
      <c r="N8">
        <f>VLOOKUP(I8,'ST 2010'!$A$2:$F$121,6)</f>
        <v>12.57</v>
      </c>
      <c r="O8">
        <v>2010</v>
      </c>
    </row>
    <row r="9" spans="1:15" x14ac:dyDescent="0.2">
      <c r="A9" s="9" t="s">
        <v>42</v>
      </c>
      <c r="B9" s="10">
        <v>68.2</v>
      </c>
      <c r="C9" s="9">
        <v>19.88</v>
      </c>
      <c r="D9" s="9">
        <v>7.1</v>
      </c>
      <c r="E9" s="9">
        <v>20.399999999999999</v>
      </c>
      <c r="F9" s="29">
        <v>3.68</v>
      </c>
      <c r="H9">
        <v>8</v>
      </c>
      <c r="I9" t="s">
        <v>70</v>
      </c>
      <c r="J9">
        <f>VLOOKUP(I9,'ST 2010'!$A$2:$F$121,2)</f>
        <v>82.4</v>
      </c>
      <c r="K9">
        <f>VLOOKUP(I9,'ST 2010'!$A$2:$F$121,3)</f>
        <v>25.87</v>
      </c>
      <c r="L9">
        <f>VLOOKUP(I9,'ST 2010'!$A$2:$F$121,4)</f>
        <v>13.5</v>
      </c>
      <c r="M9">
        <f>VLOOKUP(I9,'ST 2010'!$A$2:$F$121,5)</f>
        <v>21.19</v>
      </c>
      <c r="N9">
        <f>VLOOKUP(I9,'ST 2010'!$A$2:$F$121,6)</f>
        <v>4.92</v>
      </c>
      <c r="O9">
        <v>2010</v>
      </c>
    </row>
    <row r="10" spans="1:15" x14ac:dyDescent="0.2">
      <c r="A10" s="6" t="s">
        <v>19</v>
      </c>
      <c r="B10" s="7">
        <v>77.3</v>
      </c>
      <c r="C10" s="6">
        <v>23.52</v>
      </c>
      <c r="D10" s="6">
        <v>6.18</v>
      </c>
      <c r="E10" s="6">
        <v>19.690000000000001</v>
      </c>
      <c r="F10" s="28">
        <v>4.55</v>
      </c>
      <c r="H10">
        <v>9</v>
      </c>
      <c r="I10" t="s">
        <v>33</v>
      </c>
      <c r="J10">
        <f>VLOOKUP(I10,'ST 2010'!$A$2:$F$121,2)</f>
        <v>66.7</v>
      </c>
      <c r="K10">
        <f>VLOOKUP(I10,'ST 2010'!$A$2:$F$121,3)</f>
        <v>23.55</v>
      </c>
      <c r="L10">
        <f>VLOOKUP(I10,'ST 2010'!$A$2:$F$121,4)</f>
        <v>12.65</v>
      </c>
      <c r="M10">
        <f>VLOOKUP(I10,'ST 2010'!$A$2:$F$121,5)</f>
        <v>21.73</v>
      </c>
      <c r="N10">
        <f>VLOOKUP(I10,'ST 2010'!$A$2:$F$121,6)</f>
        <v>9.69</v>
      </c>
      <c r="O10">
        <v>2010</v>
      </c>
    </row>
    <row r="11" spans="1:15" x14ac:dyDescent="0.2">
      <c r="A11" s="9" t="s">
        <v>120</v>
      </c>
      <c r="B11" s="10">
        <v>82.4</v>
      </c>
      <c r="C11" s="9">
        <v>20.34</v>
      </c>
      <c r="D11" s="9">
        <v>8.11</v>
      </c>
      <c r="E11" s="9">
        <v>19.37</v>
      </c>
      <c r="F11" s="29">
        <v>7.78</v>
      </c>
      <c r="H11">
        <v>10</v>
      </c>
      <c r="I11" t="s">
        <v>11</v>
      </c>
      <c r="J11">
        <f>VLOOKUP(I11,'ST 2010'!$A$2:$F$121,2)</f>
        <v>76</v>
      </c>
      <c r="K11">
        <f>VLOOKUP(I11,'ST 2010'!$A$2:$F$121,3)</f>
        <v>24.05</v>
      </c>
      <c r="L11">
        <f>VLOOKUP(I11,'ST 2010'!$A$2:$F$121,4)</f>
        <v>12.46</v>
      </c>
      <c r="M11">
        <f>VLOOKUP(I11,'ST 2010'!$A$2:$F$121,5)</f>
        <v>21.42</v>
      </c>
      <c r="N11">
        <f>VLOOKUP(I11,'ST 2010'!$A$2:$F$121,6)</f>
        <v>6.4</v>
      </c>
      <c r="O11">
        <v>2010</v>
      </c>
    </row>
    <row r="12" spans="1:15" x14ac:dyDescent="0.2">
      <c r="A12" s="6" t="s">
        <v>94</v>
      </c>
      <c r="B12" s="7">
        <v>70.400000000000006</v>
      </c>
      <c r="C12" s="6">
        <v>19.850000000000001</v>
      </c>
      <c r="D12" s="6">
        <v>6.48</v>
      </c>
      <c r="E12" s="6">
        <v>21.05</v>
      </c>
      <c r="F12" s="28">
        <v>12.5</v>
      </c>
      <c r="H12">
        <v>11</v>
      </c>
      <c r="I12" t="s">
        <v>69</v>
      </c>
      <c r="J12">
        <f>VLOOKUP(I12,'ST 2010'!$A$2:$F$121,2)</f>
        <v>70.599999999999994</v>
      </c>
      <c r="K12">
        <f>VLOOKUP(I12,'ST 2010'!$A$2:$F$121,3)</f>
        <v>22.42</v>
      </c>
      <c r="L12">
        <f>VLOOKUP(I12,'ST 2010'!$A$2:$F$121,4)</f>
        <v>9.76</v>
      </c>
      <c r="M12">
        <f>VLOOKUP(I12,'ST 2010'!$A$2:$F$121,5)</f>
        <v>25.96</v>
      </c>
      <c r="N12">
        <f>VLOOKUP(I12,'ST 2010'!$A$2:$F$121,6)</f>
        <v>8.14</v>
      </c>
      <c r="O12">
        <v>2010</v>
      </c>
    </row>
    <row r="13" spans="1:15" x14ac:dyDescent="0.2">
      <c r="A13" s="9" t="s">
        <v>33</v>
      </c>
      <c r="B13" s="10">
        <v>66.7</v>
      </c>
      <c r="C13" s="9">
        <v>23.55</v>
      </c>
      <c r="D13" s="9">
        <v>12.65</v>
      </c>
      <c r="E13" s="9">
        <v>21.73</v>
      </c>
      <c r="F13" s="29">
        <v>9.69</v>
      </c>
      <c r="H13">
        <v>12</v>
      </c>
      <c r="I13" t="s">
        <v>63</v>
      </c>
      <c r="J13">
        <f>VLOOKUP(I13,'ST 2010'!$A$2:$F$121,2)</f>
        <v>84.2</v>
      </c>
      <c r="K13">
        <f>VLOOKUP(I13,'ST 2010'!$A$2:$F$121,3)</f>
        <v>19.39</v>
      </c>
      <c r="L13">
        <f>VLOOKUP(I13,'ST 2010'!$A$2:$F$121,4)</f>
        <v>15.55</v>
      </c>
      <c r="M13">
        <f>VLOOKUP(I13,'ST 2010'!$A$2:$F$121,5)</f>
        <v>25.63</v>
      </c>
      <c r="N13">
        <f>VLOOKUP(I13,'ST 2010'!$A$2:$F$121,6)</f>
        <v>5.41</v>
      </c>
      <c r="O13">
        <v>2010</v>
      </c>
    </row>
    <row r="14" spans="1:15" x14ac:dyDescent="0.2">
      <c r="A14" s="6" t="s">
        <v>79</v>
      </c>
      <c r="B14" s="7">
        <v>88</v>
      </c>
      <c r="C14" s="6">
        <v>18.2</v>
      </c>
      <c r="D14" s="6">
        <v>4.5599999999999996</v>
      </c>
      <c r="E14" s="6">
        <v>19.84</v>
      </c>
      <c r="F14" s="28">
        <v>5.79</v>
      </c>
      <c r="H14">
        <v>13</v>
      </c>
      <c r="I14" t="s">
        <v>2</v>
      </c>
      <c r="J14">
        <f>VLOOKUP(I14,'ST 2010'!$A$2:$F$121,2)</f>
        <v>87.1</v>
      </c>
      <c r="K14">
        <f>VLOOKUP(I14,'ST 2010'!$A$2:$F$121,3)</f>
        <v>22.93</v>
      </c>
      <c r="L14">
        <f>VLOOKUP(I14,'ST 2010'!$A$2:$F$121,4)</f>
        <v>9.75</v>
      </c>
      <c r="M14">
        <f>VLOOKUP(I14,'ST 2010'!$A$2:$F$121,5)</f>
        <v>27.38</v>
      </c>
      <c r="N14">
        <f>VLOOKUP(I14,'ST 2010'!$A$2:$F$121,6)</f>
        <v>9.2200000000000006</v>
      </c>
      <c r="O14">
        <v>2010</v>
      </c>
    </row>
    <row r="15" spans="1:15" x14ac:dyDescent="0.2">
      <c r="A15" s="9" t="s">
        <v>87</v>
      </c>
      <c r="B15" s="10">
        <v>38.5</v>
      </c>
      <c r="C15" s="9">
        <v>18.38</v>
      </c>
      <c r="D15" s="9">
        <v>11.1</v>
      </c>
      <c r="E15" s="9">
        <v>20.29</v>
      </c>
      <c r="F15" s="29">
        <v>8.85</v>
      </c>
      <c r="H15">
        <v>14</v>
      </c>
      <c r="I15" t="s">
        <v>104</v>
      </c>
      <c r="J15">
        <f>VLOOKUP(I15,'ST 2010'!$A$2:$F$121,2)</f>
        <v>93.3</v>
      </c>
      <c r="K15">
        <f>VLOOKUP(I15,'ST 2010'!$A$2:$F$121,3)</f>
        <v>19.579999999999998</v>
      </c>
      <c r="L15">
        <f>VLOOKUP(I15,'ST 2010'!$A$2:$F$121,4)</f>
        <v>13</v>
      </c>
      <c r="M15">
        <f>VLOOKUP(I15,'ST 2010'!$A$2:$F$121,5)</f>
        <v>21.03</v>
      </c>
      <c r="N15">
        <f>VLOOKUP(I15,'ST 2010'!$A$2:$F$121,6)</f>
        <v>8.17</v>
      </c>
      <c r="O15">
        <v>2010</v>
      </c>
    </row>
    <row r="16" spans="1:15" x14ac:dyDescent="0.2">
      <c r="A16" s="6" t="s">
        <v>66</v>
      </c>
      <c r="B16" s="7">
        <v>61.5</v>
      </c>
      <c r="C16" s="6">
        <v>19.100000000000001</v>
      </c>
      <c r="D16" s="6">
        <v>14.36</v>
      </c>
      <c r="E16" s="6">
        <v>24.71</v>
      </c>
      <c r="F16" s="28">
        <v>7.24</v>
      </c>
      <c r="H16">
        <v>15</v>
      </c>
      <c r="I16" t="s">
        <v>35</v>
      </c>
      <c r="J16">
        <f>VLOOKUP(I16,'ST 2010'!$A$2:$F$121,2)</f>
        <v>68.400000000000006</v>
      </c>
      <c r="K16">
        <f>VLOOKUP(I16,'ST 2010'!$A$2:$F$121,3)</f>
        <v>21.24</v>
      </c>
      <c r="L16">
        <f>VLOOKUP(I16,'ST 2010'!$A$2:$F$121,4)</f>
        <v>9</v>
      </c>
      <c r="M16">
        <f>VLOOKUP(I16,'ST 2010'!$A$2:$F$121,5)</f>
        <v>22.66</v>
      </c>
      <c r="N16">
        <f>VLOOKUP(I16,'ST 2010'!$A$2:$F$121,6)</f>
        <v>5.53</v>
      </c>
      <c r="O16">
        <v>2010</v>
      </c>
    </row>
    <row r="17" spans="1:15" x14ac:dyDescent="0.2">
      <c r="A17" s="9" t="s">
        <v>122</v>
      </c>
      <c r="B17" s="10">
        <v>81</v>
      </c>
      <c r="C17" s="9">
        <v>22.15</v>
      </c>
      <c r="D17" s="9">
        <v>8.9600000000000009</v>
      </c>
      <c r="E17" s="9">
        <v>23.13</v>
      </c>
      <c r="F17" s="29">
        <v>4.95</v>
      </c>
      <c r="H17">
        <v>16</v>
      </c>
      <c r="I17" t="s">
        <v>64</v>
      </c>
      <c r="J17">
        <f>VLOOKUP(I17,'ST 2010'!$A$2:$F$121,2)</f>
        <v>95.5</v>
      </c>
      <c r="K17">
        <f>VLOOKUP(I17,'ST 2010'!$A$2:$F$121,3)</f>
        <v>22.72</v>
      </c>
      <c r="L17">
        <f>VLOOKUP(I17,'ST 2010'!$A$2:$F$121,4)</f>
        <v>12.43</v>
      </c>
      <c r="M17">
        <f>VLOOKUP(I17,'ST 2010'!$A$2:$F$121,5)</f>
        <v>24.35</v>
      </c>
      <c r="N17">
        <f>VLOOKUP(I17,'ST 2010'!$A$2:$F$121,6)</f>
        <v>5</v>
      </c>
      <c r="O17">
        <v>2010</v>
      </c>
    </row>
    <row r="18" spans="1:15" x14ac:dyDescent="0.2">
      <c r="A18" s="6" t="s">
        <v>72</v>
      </c>
      <c r="B18" s="7">
        <v>68.8</v>
      </c>
      <c r="C18" s="6">
        <v>21.32</v>
      </c>
      <c r="D18" s="6">
        <v>12.16</v>
      </c>
      <c r="E18" s="6">
        <v>22.48</v>
      </c>
      <c r="F18" s="28">
        <v>12.95</v>
      </c>
      <c r="H18">
        <v>17</v>
      </c>
      <c r="I18" t="s">
        <v>88</v>
      </c>
      <c r="J18">
        <f>VLOOKUP(I18,'ST 2010'!$A$2:$F$121,2)</f>
        <v>78.599999999999994</v>
      </c>
      <c r="K18">
        <f>VLOOKUP(I18,'ST 2010'!$A$2:$F$121,3)</f>
        <v>20.51</v>
      </c>
      <c r="L18">
        <f>VLOOKUP(I18,'ST 2010'!$A$2:$F$121,4)</f>
        <v>9.64</v>
      </c>
      <c r="M18">
        <f>VLOOKUP(I18,'ST 2010'!$A$2:$F$121,5)</f>
        <v>21.46</v>
      </c>
      <c r="N18">
        <f>VLOOKUP(I18,'ST 2010'!$A$2:$F$121,6)</f>
        <v>6.81</v>
      </c>
      <c r="O18">
        <v>2010</v>
      </c>
    </row>
    <row r="19" spans="1:15" x14ac:dyDescent="0.2">
      <c r="A19" s="9" t="s">
        <v>54</v>
      </c>
      <c r="B19" s="10">
        <v>50</v>
      </c>
      <c r="C19" s="9">
        <v>19.57</v>
      </c>
      <c r="D19" s="9">
        <v>8.9499999999999993</v>
      </c>
      <c r="E19" s="9">
        <v>22.71</v>
      </c>
      <c r="F19" s="29">
        <v>11.75</v>
      </c>
      <c r="H19">
        <v>18</v>
      </c>
      <c r="I19" t="s">
        <v>10</v>
      </c>
      <c r="J19">
        <f>VLOOKUP(I19,'ST 2010'!$A$2:$F$121,2)</f>
        <v>89.5</v>
      </c>
      <c r="K19">
        <f>VLOOKUP(I19,'ST 2010'!$A$2:$F$121,3)</f>
        <v>21.09</v>
      </c>
      <c r="L19">
        <f>VLOOKUP(I19,'ST 2010'!$A$2:$F$121,4)</f>
        <v>6.08</v>
      </c>
      <c r="M19">
        <f>VLOOKUP(I19,'ST 2010'!$A$2:$F$121,5)</f>
        <v>21.92</v>
      </c>
      <c r="N19">
        <f>VLOOKUP(I19,'ST 2010'!$A$2:$F$121,6)</f>
        <v>3.96</v>
      </c>
      <c r="O19">
        <v>2010</v>
      </c>
    </row>
    <row r="20" spans="1:15" x14ac:dyDescent="0.2">
      <c r="A20" s="6" t="s">
        <v>110</v>
      </c>
      <c r="B20" s="7">
        <v>78.599999999999994</v>
      </c>
      <c r="C20" s="6">
        <v>20.190000000000001</v>
      </c>
      <c r="D20" s="6">
        <v>7.19</v>
      </c>
      <c r="E20" s="6">
        <v>21.78</v>
      </c>
      <c r="F20" s="28">
        <v>4.76</v>
      </c>
      <c r="H20">
        <v>19</v>
      </c>
      <c r="I20" t="s">
        <v>43</v>
      </c>
      <c r="J20">
        <f>VLOOKUP(I20,'ST 2010'!$A$2:$F$121,2)</f>
        <v>76.2</v>
      </c>
      <c r="K20">
        <f>VLOOKUP(I20,'ST 2010'!$A$2:$F$121,3)</f>
        <v>24.12</v>
      </c>
      <c r="L20">
        <f>VLOOKUP(I20,'ST 2010'!$A$2:$F$121,4)</f>
        <v>7.06</v>
      </c>
      <c r="M20">
        <f>VLOOKUP(I20,'ST 2010'!$A$2:$F$121,5)</f>
        <v>21.47</v>
      </c>
      <c r="N20">
        <f>VLOOKUP(I20,'ST 2010'!$A$2:$F$121,6)</f>
        <v>3.95</v>
      </c>
      <c r="O20">
        <v>2010</v>
      </c>
    </row>
    <row r="21" spans="1:15" x14ac:dyDescent="0.2">
      <c r="A21" s="9" t="s">
        <v>24</v>
      </c>
      <c r="B21" s="10">
        <v>58.3</v>
      </c>
      <c r="C21" s="9">
        <v>22.62</v>
      </c>
      <c r="D21" s="9">
        <v>11.03</v>
      </c>
      <c r="E21" s="9">
        <v>20.329999999999998</v>
      </c>
      <c r="F21" s="29">
        <v>7.22</v>
      </c>
      <c r="H21">
        <v>20</v>
      </c>
      <c r="I21" t="s">
        <v>83</v>
      </c>
      <c r="J21">
        <f>VLOOKUP(I21,'ST 2010'!$A$2:$F$121,2)</f>
        <v>94.7</v>
      </c>
      <c r="K21">
        <f>VLOOKUP(I21,'ST 2010'!$A$2:$F$121,3)</f>
        <v>22.95</v>
      </c>
      <c r="L21">
        <f>VLOOKUP(I21,'ST 2010'!$A$2:$F$121,4)</f>
        <v>12.91</v>
      </c>
      <c r="M21">
        <f>VLOOKUP(I21,'ST 2010'!$A$2:$F$121,5)</f>
        <v>23.59</v>
      </c>
      <c r="N21">
        <f>VLOOKUP(I21,'ST 2010'!$A$2:$F$121,6)</f>
        <v>9.6199999999999992</v>
      </c>
      <c r="O21">
        <v>2010</v>
      </c>
    </row>
    <row r="22" spans="1:15" x14ac:dyDescent="0.2">
      <c r="A22" s="6" t="s">
        <v>77</v>
      </c>
      <c r="B22" s="7">
        <v>62.5</v>
      </c>
      <c r="C22" s="6">
        <v>23.34</v>
      </c>
      <c r="D22" s="6">
        <v>7.28</v>
      </c>
      <c r="E22" s="6">
        <v>20.329999999999998</v>
      </c>
      <c r="F22" s="28">
        <v>8.86</v>
      </c>
      <c r="H22">
        <v>21</v>
      </c>
      <c r="I22" t="s">
        <v>0</v>
      </c>
      <c r="J22">
        <f>VLOOKUP(I22,'ST 2010'!$A$2:$F$121,2)</f>
        <v>52.4</v>
      </c>
      <c r="K22">
        <f>VLOOKUP(I22,'ST 2010'!$A$2:$F$121,3)</f>
        <v>27.76</v>
      </c>
      <c r="L22">
        <f>VLOOKUP(I22,'ST 2010'!$A$2:$F$121,4)</f>
        <v>13.13</v>
      </c>
      <c r="M22">
        <f>VLOOKUP(I22,'ST 2010'!$A$2:$F$121,5)</f>
        <v>17.48</v>
      </c>
      <c r="N22">
        <f>VLOOKUP(I22,'ST 2010'!$A$2:$F$121,6)</f>
        <v>8</v>
      </c>
      <c r="O22">
        <v>2010</v>
      </c>
    </row>
    <row r="23" spans="1:15" x14ac:dyDescent="0.2">
      <c r="A23" s="9" t="s">
        <v>30</v>
      </c>
      <c r="B23" s="10">
        <v>72.7</v>
      </c>
      <c r="C23" s="9">
        <v>24.3</v>
      </c>
      <c r="D23" s="9">
        <v>8.4600000000000009</v>
      </c>
      <c r="E23" s="9">
        <v>26.17</v>
      </c>
      <c r="F23" s="29">
        <v>9.06</v>
      </c>
      <c r="H23">
        <v>22</v>
      </c>
      <c r="I23" t="s">
        <v>98</v>
      </c>
      <c r="J23">
        <f>VLOOKUP(I23,'ST 2010'!$A$2:$F$121,2)</f>
        <v>70.8</v>
      </c>
      <c r="K23">
        <f>VLOOKUP(I23,'ST 2010'!$A$2:$F$121,3)</f>
        <v>20.059999999999999</v>
      </c>
      <c r="L23">
        <f>VLOOKUP(I23,'ST 2010'!$A$2:$F$121,4)</f>
        <v>3.42</v>
      </c>
      <c r="M23">
        <f>VLOOKUP(I23,'ST 2010'!$A$2:$F$121,5)</f>
        <v>20.68</v>
      </c>
      <c r="N23">
        <f>VLOOKUP(I23,'ST 2010'!$A$2:$F$121,6)</f>
        <v>9.33</v>
      </c>
      <c r="O23">
        <v>2010</v>
      </c>
    </row>
    <row r="24" spans="1:15" x14ac:dyDescent="0.2">
      <c r="A24" s="6" t="s">
        <v>101</v>
      </c>
      <c r="B24" s="7">
        <v>80.599999999999994</v>
      </c>
      <c r="C24" s="6">
        <v>27.04</v>
      </c>
      <c r="D24" s="6">
        <v>8.18</v>
      </c>
      <c r="E24" s="6">
        <v>22.53</v>
      </c>
      <c r="F24" s="28">
        <v>10.97</v>
      </c>
      <c r="H24">
        <v>23</v>
      </c>
      <c r="I24" t="s">
        <v>97</v>
      </c>
      <c r="J24">
        <f>VLOOKUP(I24,'ST 2010'!$A$2:$F$121,2)</f>
        <v>77.8</v>
      </c>
      <c r="K24">
        <f>VLOOKUP(I24,'ST 2010'!$A$2:$F$121,3)</f>
        <v>18.28</v>
      </c>
      <c r="L24">
        <f>VLOOKUP(I24,'ST 2010'!$A$2:$F$121,4)</f>
        <v>16.940000000000001</v>
      </c>
      <c r="M24">
        <f>VLOOKUP(I24,'ST 2010'!$A$2:$F$121,5)</f>
        <v>19.29</v>
      </c>
      <c r="N24">
        <f>VLOOKUP(I24,'ST 2010'!$A$2:$F$121,6)</f>
        <v>10</v>
      </c>
      <c r="O24">
        <v>2010</v>
      </c>
    </row>
    <row r="25" spans="1:15" x14ac:dyDescent="0.2">
      <c r="A25" s="9" t="s">
        <v>85</v>
      </c>
      <c r="B25" s="10">
        <v>87.5</v>
      </c>
      <c r="C25" s="9">
        <v>21.37</v>
      </c>
      <c r="D25" s="9">
        <v>8.17</v>
      </c>
      <c r="E25" s="9">
        <v>19.309999999999999</v>
      </c>
      <c r="F25" s="29">
        <v>14.4</v>
      </c>
      <c r="H25">
        <v>24</v>
      </c>
      <c r="I25" t="s">
        <v>59</v>
      </c>
      <c r="J25">
        <f>VLOOKUP(I25,'ST 2010'!$A$2:$F$121,2)</f>
        <v>66.7</v>
      </c>
      <c r="K25">
        <f>VLOOKUP(I25,'ST 2010'!$A$2:$F$121,3)</f>
        <v>22.39</v>
      </c>
      <c r="L25">
        <f>VLOOKUP(I25,'ST 2010'!$A$2:$F$121,4)</f>
        <v>12.33</v>
      </c>
      <c r="M25">
        <f>VLOOKUP(I25,'ST 2010'!$A$2:$F$121,5)</f>
        <v>18.86</v>
      </c>
      <c r="N25">
        <f>VLOOKUP(I25,'ST 2010'!$A$2:$F$121,6)</f>
        <v>1.53</v>
      </c>
      <c r="O25">
        <v>2010</v>
      </c>
    </row>
    <row r="26" spans="1:15" x14ac:dyDescent="0.2">
      <c r="A26" s="6" t="s">
        <v>89</v>
      </c>
      <c r="B26" s="7">
        <v>88.9</v>
      </c>
      <c r="C26" s="6">
        <v>20.16</v>
      </c>
      <c r="D26" s="6">
        <v>10.81</v>
      </c>
      <c r="E26" s="6">
        <v>20.32</v>
      </c>
      <c r="F26" s="28">
        <v>6.38</v>
      </c>
      <c r="H26">
        <v>25</v>
      </c>
      <c r="I26" t="s">
        <v>46</v>
      </c>
      <c r="J26">
        <f>VLOOKUP(I26,'ST 2010'!$A$2:$F$121,2)</f>
        <v>77.8</v>
      </c>
      <c r="K26">
        <f>VLOOKUP(I26,'ST 2010'!$A$2:$F$121,3)</f>
        <v>19</v>
      </c>
      <c r="L26">
        <f>VLOOKUP(I26,'ST 2010'!$A$2:$F$121,4)</f>
        <v>9.32</v>
      </c>
      <c r="M26">
        <f>VLOOKUP(I26,'ST 2010'!$A$2:$F$121,5)</f>
        <v>21.96</v>
      </c>
      <c r="N26">
        <f>VLOOKUP(I26,'ST 2010'!$A$2:$F$121,6)</f>
        <v>7.85</v>
      </c>
      <c r="O26">
        <v>2010</v>
      </c>
    </row>
    <row r="27" spans="1:15" x14ac:dyDescent="0.2">
      <c r="A27" s="9" t="s">
        <v>81</v>
      </c>
      <c r="B27" s="10">
        <v>55.6</v>
      </c>
      <c r="C27" s="9">
        <v>19.489999999999998</v>
      </c>
      <c r="D27" s="9">
        <v>3</v>
      </c>
      <c r="E27" s="9">
        <v>21.78</v>
      </c>
      <c r="F27" s="29">
        <v>6.05</v>
      </c>
    </row>
    <row r="28" spans="1:15" x14ac:dyDescent="0.2">
      <c r="A28" s="6" t="s">
        <v>108</v>
      </c>
      <c r="B28" s="7">
        <v>60</v>
      </c>
      <c r="C28" s="6">
        <v>26.26</v>
      </c>
      <c r="D28" s="6">
        <v>9.15</v>
      </c>
      <c r="E28" s="6">
        <v>20.13</v>
      </c>
      <c r="F28" s="28">
        <v>8.3800000000000008</v>
      </c>
    </row>
    <row r="29" spans="1:15" x14ac:dyDescent="0.2">
      <c r="A29" s="9" t="s">
        <v>9</v>
      </c>
      <c r="B29" s="10">
        <v>61.5</v>
      </c>
      <c r="C29" s="9">
        <v>19.93</v>
      </c>
      <c r="D29" s="9">
        <v>8.27</v>
      </c>
      <c r="E29" s="9">
        <v>22.65</v>
      </c>
      <c r="F29" s="29">
        <v>9.3699999999999992</v>
      </c>
    </row>
    <row r="30" spans="1:15" x14ac:dyDescent="0.2">
      <c r="A30" s="6" t="s">
        <v>95</v>
      </c>
      <c r="B30" s="7">
        <v>85</v>
      </c>
      <c r="C30" s="6">
        <v>22.23</v>
      </c>
      <c r="D30" s="6">
        <v>6.31</v>
      </c>
      <c r="E30" s="6">
        <v>21.08</v>
      </c>
      <c r="F30" s="28">
        <v>11.94</v>
      </c>
    </row>
    <row r="31" spans="1:15" x14ac:dyDescent="0.2">
      <c r="A31" s="9" t="s">
        <v>88</v>
      </c>
      <c r="B31" s="10">
        <v>78.599999999999994</v>
      </c>
      <c r="C31" s="9">
        <v>20.51</v>
      </c>
      <c r="D31" s="9">
        <v>9.64</v>
      </c>
      <c r="E31" s="9">
        <v>21.46</v>
      </c>
      <c r="F31" s="29">
        <v>6.81</v>
      </c>
    </row>
    <row r="32" spans="1:15" x14ac:dyDescent="0.2">
      <c r="A32" s="6" t="s">
        <v>73</v>
      </c>
      <c r="B32" s="7">
        <v>80.8</v>
      </c>
      <c r="C32" s="6">
        <v>22.47</v>
      </c>
      <c r="D32" s="6">
        <v>9.34</v>
      </c>
      <c r="E32" s="6">
        <v>24.26</v>
      </c>
      <c r="F32" s="28">
        <v>11.45</v>
      </c>
    </row>
    <row r="33" spans="1:6" x14ac:dyDescent="0.2">
      <c r="A33" s="9" t="s">
        <v>22</v>
      </c>
      <c r="B33" s="10">
        <v>83.3</v>
      </c>
      <c r="C33" s="9">
        <v>20.8</v>
      </c>
      <c r="D33" s="9">
        <v>10.62</v>
      </c>
      <c r="E33" s="9">
        <v>19.54</v>
      </c>
      <c r="F33" s="29">
        <v>5.13</v>
      </c>
    </row>
    <row r="34" spans="1:6" x14ac:dyDescent="0.2">
      <c r="A34" s="6" t="s">
        <v>71</v>
      </c>
      <c r="B34" s="7">
        <v>88.2</v>
      </c>
      <c r="C34" s="6">
        <v>19.940000000000001</v>
      </c>
      <c r="D34" s="6">
        <v>5.83</v>
      </c>
      <c r="E34" s="6">
        <v>19.7</v>
      </c>
      <c r="F34" s="28">
        <v>11.56</v>
      </c>
    </row>
    <row r="35" spans="1:6" x14ac:dyDescent="0.2">
      <c r="A35" s="9" t="s">
        <v>105</v>
      </c>
      <c r="B35" s="10">
        <v>81</v>
      </c>
      <c r="C35" s="9">
        <v>20.16</v>
      </c>
      <c r="D35" s="9">
        <v>3.79</v>
      </c>
      <c r="E35" s="9">
        <v>20.56</v>
      </c>
      <c r="F35" s="29">
        <v>14.31</v>
      </c>
    </row>
    <row r="36" spans="1:6" x14ac:dyDescent="0.2">
      <c r="A36" s="6" t="s">
        <v>67</v>
      </c>
      <c r="B36" s="7">
        <v>82.4</v>
      </c>
      <c r="C36" s="6">
        <v>21.82</v>
      </c>
      <c r="D36" s="6">
        <v>15.4</v>
      </c>
      <c r="E36" s="6">
        <v>22.27</v>
      </c>
      <c r="F36" s="28">
        <v>12.31</v>
      </c>
    </row>
    <row r="37" spans="1:6" x14ac:dyDescent="0.2">
      <c r="A37" s="9" t="s">
        <v>115</v>
      </c>
      <c r="B37" s="10">
        <v>72</v>
      </c>
      <c r="C37" s="9">
        <v>22.79</v>
      </c>
      <c r="D37" s="9">
        <v>3.68</v>
      </c>
      <c r="E37" s="9">
        <v>23.75</v>
      </c>
      <c r="F37" s="29">
        <v>11.05</v>
      </c>
    </row>
    <row r="38" spans="1:6" x14ac:dyDescent="0.2">
      <c r="A38" s="6" t="s">
        <v>125</v>
      </c>
      <c r="B38" s="7">
        <v>82.8</v>
      </c>
      <c r="C38" s="6">
        <v>19.760000000000002</v>
      </c>
      <c r="D38" s="6">
        <v>3.16</v>
      </c>
      <c r="E38" s="6">
        <v>22.49</v>
      </c>
      <c r="F38" s="28">
        <v>8.1999999999999993</v>
      </c>
    </row>
    <row r="39" spans="1:6" x14ac:dyDescent="0.2">
      <c r="A39" s="9" t="s">
        <v>76</v>
      </c>
      <c r="B39" s="10">
        <v>85.7</v>
      </c>
      <c r="C39" s="9">
        <v>23.06</v>
      </c>
      <c r="D39" s="9">
        <v>6.78</v>
      </c>
      <c r="E39" s="9">
        <v>23.79</v>
      </c>
      <c r="F39" s="29">
        <v>9.0500000000000007</v>
      </c>
    </row>
    <row r="40" spans="1:6" x14ac:dyDescent="0.2">
      <c r="A40" s="6" t="s">
        <v>68</v>
      </c>
      <c r="B40" s="7">
        <v>82.4</v>
      </c>
      <c r="C40" s="6">
        <v>25.28</v>
      </c>
      <c r="D40" s="6">
        <v>8.18</v>
      </c>
      <c r="E40" s="6">
        <v>21.07</v>
      </c>
      <c r="F40" s="28">
        <v>3.9</v>
      </c>
    </row>
    <row r="41" spans="1:6" x14ac:dyDescent="0.2">
      <c r="A41" s="9" t="s">
        <v>52</v>
      </c>
      <c r="B41" s="10">
        <v>47.1</v>
      </c>
      <c r="C41" s="9">
        <v>21.94</v>
      </c>
      <c r="D41" s="9">
        <v>9.6</v>
      </c>
      <c r="E41" s="9">
        <v>26.94</v>
      </c>
      <c r="F41" s="29">
        <v>12.32</v>
      </c>
    </row>
    <row r="42" spans="1:6" x14ac:dyDescent="0.2">
      <c r="A42" s="6" t="s">
        <v>118</v>
      </c>
      <c r="B42" s="7">
        <v>57.1</v>
      </c>
      <c r="C42" s="6">
        <v>20.97</v>
      </c>
      <c r="D42" s="6">
        <v>3.8</v>
      </c>
      <c r="E42" s="6">
        <v>23.79</v>
      </c>
      <c r="F42" s="28">
        <v>13.85</v>
      </c>
    </row>
    <row r="43" spans="1:6" x14ac:dyDescent="0.2">
      <c r="A43" s="9" t="s">
        <v>36</v>
      </c>
      <c r="B43" s="10">
        <v>72.7</v>
      </c>
      <c r="C43" s="9">
        <v>24.93</v>
      </c>
      <c r="D43" s="9">
        <v>8.2200000000000006</v>
      </c>
      <c r="E43" s="9">
        <v>21.02</v>
      </c>
      <c r="F43" s="29">
        <v>6.09</v>
      </c>
    </row>
    <row r="44" spans="1:6" x14ac:dyDescent="0.2">
      <c r="A44" s="6" t="s">
        <v>127</v>
      </c>
      <c r="B44" s="7">
        <v>64.7</v>
      </c>
      <c r="C44" s="6">
        <v>20.48</v>
      </c>
      <c r="D44" s="6">
        <v>6.33</v>
      </c>
      <c r="E44" s="6">
        <v>17.54</v>
      </c>
      <c r="F44" s="28">
        <v>5.42</v>
      </c>
    </row>
    <row r="45" spans="1:6" x14ac:dyDescent="0.2">
      <c r="A45" s="9" t="s">
        <v>86</v>
      </c>
      <c r="B45" s="10">
        <v>66.7</v>
      </c>
      <c r="C45" s="9">
        <v>22.76</v>
      </c>
      <c r="D45" s="9">
        <v>7.06</v>
      </c>
      <c r="E45" s="9">
        <v>23.61</v>
      </c>
      <c r="F45" s="29">
        <v>11.95</v>
      </c>
    </row>
    <row r="46" spans="1:6" x14ac:dyDescent="0.2">
      <c r="A46" s="6" t="s">
        <v>65</v>
      </c>
      <c r="B46" s="7">
        <v>77.8</v>
      </c>
      <c r="C46" s="6">
        <v>23.52</v>
      </c>
      <c r="D46" s="6">
        <v>13.63</v>
      </c>
      <c r="E46" s="6">
        <v>21.14</v>
      </c>
      <c r="F46" s="28">
        <v>5.68</v>
      </c>
    </row>
    <row r="47" spans="1:6" x14ac:dyDescent="0.2">
      <c r="A47" s="9" t="s">
        <v>58</v>
      </c>
      <c r="B47" s="10">
        <v>61.5</v>
      </c>
      <c r="C47" s="9">
        <v>17.64</v>
      </c>
      <c r="D47" s="9">
        <v>7</v>
      </c>
      <c r="E47" s="9">
        <v>21.35</v>
      </c>
      <c r="F47" s="29">
        <v>14.7</v>
      </c>
    </row>
    <row r="48" spans="1:6" x14ac:dyDescent="0.2">
      <c r="A48" s="6" t="s">
        <v>21</v>
      </c>
      <c r="B48" s="7">
        <v>80</v>
      </c>
      <c r="C48" s="6">
        <v>22.03</v>
      </c>
      <c r="D48" s="6">
        <v>3.55</v>
      </c>
      <c r="E48" s="6">
        <v>21.36</v>
      </c>
      <c r="F48" s="28">
        <v>8.7100000000000009</v>
      </c>
    </row>
    <row r="49" spans="1:6" x14ac:dyDescent="0.2">
      <c r="A49" s="9" t="s">
        <v>12</v>
      </c>
      <c r="B49" s="10">
        <v>77.8</v>
      </c>
      <c r="C49" s="9">
        <v>25.49</v>
      </c>
      <c r="D49" s="9">
        <v>12.61</v>
      </c>
      <c r="E49" s="9">
        <v>23.7</v>
      </c>
      <c r="F49" s="29">
        <v>5.0999999999999996</v>
      </c>
    </row>
    <row r="50" spans="1:6" x14ac:dyDescent="0.2">
      <c r="A50" s="6" t="s">
        <v>70</v>
      </c>
      <c r="B50" s="7">
        <v>82.4</v>
      </c>
      <c r="C50" s="6">
        <v>25.87</v>
      </c>
      <c r="D50" s="6">
        <v>13.5</v>
      </c>
      <c r="E50" s="6">
        <v>21.19</v>
      </c>
      <c r="F50" s="28">
        <v>4.92</v>
      </c>
    </row>
    <row r="51" spans="1:6" x14ac:dyDescent="0.2">
      <c r="A51" s="9" t="s">
        <v>78</v>
      </c>
      <c r="B51" s="10">
        <v>62.5</v>
      </c>
      <c r="C51" s="9">
        <v>22.56</v>
      </c>
      <c r="D51" s="9">
        <v>6.35</v>
      </c>
      <c r="E51" s="9">
        <v>20.05</v>
      </c>
      <c r="F51" s="29">
        <v>9.0399999999999991</v>
      </c>
    </row>
    <row r="52" spans="1:6" x14ac:dyDescent="0.2">
      <c r="A52" s="6" t="s">
        <v>97</v>
      </c>
      <c r="B52" s="7">
        <v>77.8</v>
      </c>
      <c r="C52" s="6">
        <v>18.28</v>
      </c>
      <c r="D52" s="6">
        <v>16.940000000000001</v>
      </c>
      <c r="E52" s="6">
        <v>19.29</v>
      </c>
      <c r="F52" s="28">
        <v>10</v>
      </c>
    </row>
    <row r="53" spans="1:6" x14ac:dyDescent="0.2">
      <c r="A53" s="9" t="s">
        <v>1</v>
      </c>
      <c r="B53" s="10">
        <v>77.8</v>
      </c>
      <c r="C53" s="9">
        <v>18.260000000000002</v>
      </c>
      <c r="D53" s="9">
        <v>0.45</v>
      </c>
      <c r="E53" s="9">
        <v>26.26</v>
      </c>
      <c r="F53" s="29">
        <v>15.57</v>
      </c>
    </row>
    <row r="54" spans="1:6" x14ac:dyDescent="0.2">
      <c r="A54" s="6" t="s">
        <v>39</v>
      </c>
      <c r="B54" s="7">
        <v>76.5</v>
      </c>
      <c r="C54" s="6">
        <v>19.66</v>
      </c>
      <c r="D54" s="6">
        <v>4.53</v>
      </c>
      <c r="E54" s="6">
        <v>21.75</v>
      </c>
      <c r="F54" s="28">
        <v>8.17</v>
      </c>
    </row>
    <row r="55" spans="1:6" x14ac:dyDescent="0.2">
      <c r="A55" s="9" t="s">
        <v>93</v>
      </c>
      <c r="B55" s="10">
        <v>66.7</v>
      </c>
      <c r="C55" s="9">
        <v>20.54</v>
      </c>
      <c r="D55" s="9">
        <v>7</v>
      </c>
      <c r="E55" s="9">
        <v>21.13</v>
      </c>
      <c r="F55" s="29">
        <v>5.87</v>
      </c>
    </row>
    <row r="56" spans="1:6" x14ac:dyDescent="0.2">
      <c r="A56" s="6" t="s">
        <v>84</v>
      </c>
      <c r="B56" s="7">
        <v>28.6</v>
      </c>
      <c r="C56" s="6">
        <v>21.44</v>
      </c>
      <c r="D56" s="6">
        <v>7.43</v>
      </c>
      <c r="E56" s="6">
        <v>21.25</v>
      </c>
      <c r="F56" s="28">
        <v>9.7799999999999994</v>
      </c>
    </row>
    <row r="57" spans="1:6" x14ac:dyDescent="0.2">
      <c r="A57" s="9" t="s">
        <v>104</v>
      </c>
      <c r="B57" s="10">
        <v>93.3</v>
      </c>
      <c r="C57" s="9">
        <v>19.579999999999998</v>
      </c>
      <c r="D57" s="9">
        <v>13</v>
      </c>
      <c r="E57" s="9">
        <v>21.03</v>
      </c>
      <c r="F57" s="29">
        <v>8.17</v>
      </c>
    </row>
    <row r="58" spans="1:6" x14ac:dyDescent="0.2">
      <c r="A58" s="6" t="s">
        <v>91</v>
      </c>
      <c r="B58" s="7">
        <v>83.3</v>
      </c>
      <c r="C58" s="6">
        <v>25.11</v>
      </c>
      <c r="D58" s="6">
        <v>6.44</v>
      </c>
      <c r="E58" s="6">
        <v>20.62</v>
      </c>
      <c r="F58" s="28">
        <v>9.3800000000000008</v>
      </c>
    </row>
    <row r="59" spans="1:6" x14ac:dyDescent="0.2">
      <c r="A59" s="9" t="s">
        <v>107</v>
      </c>
      <c r="B59" s="10">
        <v>64.7</v>
      </c>
      <c r="C59" s="9">
        <v>21.15</v>
      </c>
      <c r="D59" s="9">
        <v>7.62</v>
      </c>
      <c r="E59" s="9">
        <v>21.84</v>
      </c>
      <c r="F59" s="29">
        <v>17.78</v>
      </c>
    </row>
    <row r="60" spans="1:6" x14ac:dyDescent="0.2">
      <c r="A60" s="6" t="s">
        <v>34</v>
      </c>
      <c r="B60" s="7">
        <v>88.9</v>
      </c>
      <c r="C60" s="6">
        <v>21.08</v>
      </c>
      <c r="D60" s="6">
        <v>12.63</v>
      </c>
      <c r="E60" s="6">
        <v>23.44</v>
      </c>
      <c r="F60" s="28">
        <v>13.42</v>
      </c>
    </row>
    <row r="61" spans="1:6" x14ac:dyDescent="0.2">
      <c r="A61" s="9" t="s">
        <v>35</v>
      </c>
      <c r="B61" s="10">
        <v>68.400000000000006</v>
      </c>
      <c r="C61" s="9">
        <v>21.24</v>
      </c>
      <c r="D61" s="9">
        <v>9</v>
      </c>
      <c r="E61" s="9">
        <v>22.66</v>
      </c>
      <c r="F61" s="29">
        <v>5.53</v>
      </c>
    </row>
    <row r="62" spans="1:6" x14ac:dyDescent="0.2">
      <c r="A62" s="6" t="s">
        <v>10</v>
      </c>
      <c r="B62" s="7">
        <v>89.5</v>
      </c>
      <c r="C62" s="6">
        <v>21.09</v>
      </c>
      <c r="D62" s="6">
        <v>6.08</v>
      </c>
      <c r="E62" s="6">
        <v>21.92</v>
      </c>
      <c r="F62" s="28">
        <v>3.96</v>
      </c>
    </row>
    <row r="63" spans="1:6" x14ac:dyDescent="0.2">
      <c r="A63" s="9" t="s">
        <v>49</v>
      </c>
      <c r="B63" s="10">
        <v>75</v>
      </c>
      <c r="C63" s="9">
        <v>22.46</v>
      </c>
      <c r="D63" s="9">
        <v>5.38</v>
      </c>
      <c r="E63" s="9">
        <v>23.41</v>
      </c>
      <c r="F63" s="29">
        <v>7.65</v>
      </c>
    </row>
    <row r="64" spans="1:6" x14ac:dyDescent="0.2">
      <c r="A64" s="6" t="s">
        <v>83</v>
      </c>
      <c r="B64" s="7">
        <v>94.7</v>
      </c>
      <c r="C64" s="6">
        <v>22.95</v>
      </c>
      <c r="D64" s="6">
        <v>12.91</v>
      </c>
      <c r="E64" s="6">
        <v>23.59</v>
      </c>
      <c r="F64" s="28">
        <v>9.6199999999999992</v>
      </c>
    </row>
    <row r="65" spans="1:6" x14ac:dyDescent="0.2">
      <c r="A65" s="9" t="s">
        <v>69</v>
      </c>
      <c r="B65" s="10">
        <v>70.599999999999994</v>
      </c>
      <c r="C65" s="9">
        <v>22.42</v>
      </c>
      <c r="D65" s="9">
        <v>9.76</v>
      </c>
      <c r="E65" s="9">
        <v>25.96</v>
      </c>
      <c r="F65" s="29">
        <v>8.14</v>
      </c>
    </row>
    <row r="66" spans="1:6" x14ac:dyDescent="0.2">
      <c r="A66" s="6" t="s">
        <v>111</v>
      </c>
      <c r="B66" s="7">
        <v>88.9</v>
      </c>
      <c r="C66" s="6">
        <v>23.54</v>
      </c>
      <c r="D66" s="6">
        <v>2.2999999999999998</v>
      </c>
      <c r="E66" s="6">
        <v>29.67</v>
      </c>
      <c r="F66" s="28">
        <v>15.62</v>
      </c>
    </row>
    <row r="67" spans="1:6" x14ac:dyDescent="0.2">
      <c r="A67" s="9" t="s">
        <v>50</v>
      </c>
      <c r="B67" s="10">
        <v>84.2</v>
      </c>
      <c r="C67" s="9">
        <v>24.03</v>
      </c>
      <c r="D67" s="9">
        <v>5.94</v>
      </c>
      <c r="E67" s="9">
        <v>24.28</v>
      </c>
      <c r="F67" s="29">
        <v>5.46</v>
      </c>
    </row>
    <row r="68" spans="1:6" x14ac:dyDescent="0.2">
      <c r="A68" s="6" t="s">
        <v>82</v>
      </c>
      <c r="B68" s="7">
        <v>86.4</v>
      </c>
      <c r="C68" s="6">
        <v>20.38</v>
      </c>
      <c r="D68" s="6">
        <v>8.5299999999999994</v>
      </c>
      <c r="E68" s="6">
        <v>22.53</v>
      </c>
      <c r="F68" s="28">
        <v>11</v>
      </c>
    </row>
    <row r="69" spans="1:6" x14ac:dyDescent="0.2">
      <c r="A69" s="9" t="s">
        <v>46</v>
      </c>
      <c r="B69" s="10">
        <v>77.8</v>
      </c>
      <c r="C69" s="9">
        <v>19</v>
      </c>
      <c r="D69" s="9">
        <v>9.32</v>
      </c>
      <c r="E69" s="9">
        <v>21.96</v>
      </c>
      <c r="F69" s="29">
        <v>7.85</v>
      </c>
    </row>
    <row r="70" spans="1:6" x14ac:dyDescent="0.2">
      <c r="A70" s="6" t="s">
        <v>16</v>
      </c>
      <c r="B70" s="7">
        <v>83.3</v>
      </c>
      <c r="C70" s="6">
        <v>24.29</v>
      </c>
      <c r="D70" s="6">
        <v>3.31</v>
      </c>
      <c r="E70" s="6">
        <v>22.25</v>
      </c>
      <c r="F70" s="28">
        <v>9</v>
      </c>
    </row>
    <row r="71" spans="1:6" x14ac:dyDescent="0.2">
      <c r="A71" s="9" t="s">
        <v>51</v>
      </c>
      <c r="B71" s="10">
        <v>63.3</v>
      </c>
      <c r="C71" s="9">
        <v>21.97</v>
      </c>
      <c r="D71" s="9">
        <v>9.5</v>
      </c>
      <c r="E71" s="9">
        <v>20.73</v>
      </c>
      <c r="F71" s="29">
        <v>8.56</v>
      </c>
    </row>
    <row r="72" spans="1:6" x14ac:dyDescent="0.2">
      <c r="A72" s="6" t="s">
        <v>55</v>
      </c>
      <c r="B72" s="7">
        <v>69.599999999999994</v>
      </c>
      <c r="C72" s="6">
        <v>22.53</v>
      </c>
      <c r="D72" s="6">
        <v>9.2799999999999994</v>
      </c>
      <c r="E72" s="6">
        <v>20.05</v>
      </c>
      <c r="F72" s="28">
        <v>3.31</v>
      </c>
    </row>
    <row r="73" spans="1:6" x14ac:dyDescent="0.2">
      <c r="A73" s="9" t="s">
        <v>23</v>
      </c>
      <c r="B73" s="10">
        <v>95</v>
      </c>
      <c r="C73" s="9">
        <v>21.18</v>
      </c>
      <c r="D73" s="9">
        <v>4.9400000000000004</v>
      </c>
      <c r="E73" s="9">
        <v>19.690000000000001</v>
      </c>
      <c r="F73" s="29">
        <v>5.5</v>
      </c>
    </row>
    <row r="74" spans="1:6" x14ac:dyDescent="0.2">
      <c r="A74" s="6" t="s">
        <v>13</v>
      </c>
      <c r="B74" s="7">
        <v>78.599999999999994</v>
      </c>
      <c r="C74" s="6">
        <v>21.32</v>
      </c>
      <c r="D74" s="6">
        <v>9.75</v>
      </c>
      <c r="E74" s="6">
        <v>18.62</v>
      </c>
      <c r="F74" s="28">
        <v>6.63</v>
      </c>
    </row>
    <row r="75" spans="1:6" x14ac:dyDescent="0.2">
      <c r="A75" s="9" t="s">
        <v>4</v>
      </c>
      <c r="B75" s="10">
        <v>76.900000000000006</v>
      </c>
      <c r="C75" s="9">
        <v>26.38</v>
      </c>
      <c r="D75" s="9">
        <v>9.6300000000000008</v>
      </c>
      <c r="E75" s="9">
        <v>21.44</v>
      </c>
      <c r="F75" s="29">
        <v>10.5</v>
      </c>
    </row>
    <row r="76" spans="1:6" x14ac:dyDescent="0.2">
      <c r="A76" s="6" t="s">
        <v>3</v>
      </c>
      <c r="B76" s="7">
        <v>79.3</v>
      </c>
      <c r="C76" s="6">
        <v>22.26</v>
      </c>
      <c r="D76" s="6">
        <v>8.5</v>
      </c>
      <c r="E76" s="6">
        <v>21.54</v>
      </c>
      <c r="F76" s="28">
        <v>3.04</v>
      </c>
    </row>
    <row r="77" spans="1:6" x14ac:dyDescent="0.2">
      <c r="A77" s="9" t="s">
        <v>2</v>
      </c>
      <c r="B77" s="10">
        <v>87.1</v>
      </c>
      <c r="C77" s="9">
        <v>22.93</v>
      </c>
      <c r="D77" s="9">
        <v>9.75</v>
      </c>
      <c r="E77" s="9">
        <v>27.38</v>
      </c>
      <c r="F77" s="29">
        <v>9.2200000000000006</v>
      </c>
    </row>
    <row r="78" spans="1:6" x14ac:dyDescent="0.2">
      <c r="A78" s="6" t="s">
        <v>18</v>
      </c>
      <c r="B78" s="7">
        <v>76.5</v>
      </c>
      <c r="C78" s="6">
        <v>21.39</v>
      </c>
      <c r="D78" s="6">
        <v>16.98</v>
      </c>
      <c r="E78" s="6">
        <v>19.28</v>
      </c>
      <c r="F78" s="28">
        <v>9.17</v>
      </c>
    </row>
    <row r="79" spans="1:6" x14ac:dyDescent="0.2">
      <c r="A79" s="9" t="s">
        <v>112</v>
      </c>
      <c r="B79" s="10">
        <v>66.7</v>
      </c>
      <c r="C79" s="9">
        <v>26.38</v>
      </c>
      <c r="D79" s="9">
        <v>14.78</v>
      </c>
      <c r="E79" s="9">
        <v>21.09</v>
      </c>
      <c r="F79" s="29">
        <v>6.97</v>
      </c>
    </row>
    <row r="80" spans="1:6" x14ac:dyDescent="0.2">
      <c r="A80" s="6" t="s">
        <v>6</v>
      </c>
      <c r="B80" s="7">
        <v>80</v>
      </c>
      <c r="C80" s="6">
        <v>20.81</v>
      </c>
      <c r="D80" s="6">
        <v>9.39</v>
      </c>
      <c r="E80" s="6">
        <v>20.77</v>
      </c>
      <c r="F80" s="28">
        <v>8.67</v>
      </c>
    </row>
    <row r="81" spans="1:6" x14ac:dyDescent="0.2">
      <c r="A81" s="9" t="s">
        <v>99</v>
      </c>
      <c r="B81" s="10">
        <v>72</v>
      </c>
      <c r="C81" s="9">
        <v>20.39</v>
      </c>
      <c r="D81" s="9">
        <v>12.29</v>
      </c>
      <c r="E81" s="9">
        <v>22.1</v>
      </c>
      <c r="F81" s="29">
        <v>5.05</v>
      </c>
    </row>
    <row r="82" spans="1:6" x14ac:dyDescent="0.2">
      <c r="A82" s="6" t="s">
        <v>96</v>
      </c>
      <c r="B82" s="7">
        <v>78.900000000000006</v>
      </c>
      <c r="C82" s="6">
        <v>19.760000000000002</v>
      </c>
      <c r="D82" s="6">
        <v>5.58</v>
      </c>
      <c r="E82" s="6">
        <v>22.13</v>
      </c>
      <c r="F82" s="28">
        <v>8.8000000000000007</v>
      </c>
    </row>
    <row r="83" spans="1:6" x14ac:dyDescent="0.2">
      <c r="A83" s="9" t="s">
        <v>123</v>
      </c>
      <c r="B83" s="10">
        <v>64.7</v>
      </c>
      <c r="C83" s="9">
        <v>22.38</v>
      </c>
      <c r="D83" s="9">
        <v>11.56</v>
      </c>
      <c r="E83" s="9">
        <v>21.19</v>
      </c>
      <c r="F83" s="29">
        <v>9.4499999999999993</v>
      </c>
    </row>
    <row r="84" spans="1:6" x14ac:dyDescent="0.2">
      <c r="A84" s="6" t="s">
        <v>119</v>
      </c>
      <c r="B84" s="7">
        <v>70</v>
      </c>
      <c r="C84" s="6">
        <v>22.86</v>
      </c>
      <c r="D84" s="6">
        <v>8.7899999999999991</v>
      </c>
      <c r="E84" s="6">
        <v>20.43</v>
      </c>
      <c r="F84" s="28">
        <v>11.07</v>
      </c>
    </row>
    <row r="85" spans="1:6" x14ac:dyDescent="0.2">
      <c r="A85" s="9" t="s">
        <v>48</v>
      </c>
      <c r="B85" s="10">
        <v>77.3</v>
      </c>
      <c r="C85" s="9">
        <v>18.5</v>
      </c>
      <c r="D85" s="9">
        <v>6.04</v>
      </c>
      <c r="E85" s="9">
        <v>25.54</v>
      </c>
      <c r="F85" s="29">
        <v>9.81</v>
      </c>
    </row>
    <row r="86" spans="1:6" x14ac:dyDescent="0.2">
      <c r="A86" s="6" t="s">
        <v>124</v>
      </c>
      <c r="B86" s="7">
        <v>63.6</v>
      </c>
      <c r="C86" s="6">
        <v>21.13</v>
      </c>
      <c r="D86" s="6">
        <v>8.33</v>
      </c>
      <c r="E86" s="6">
        <v>18.16</v>
      </c>
      <c r="F86" s="28">
        <v>10.29</v>
      </c>
    </row>
    <row r="87" spans="1:6" x14ac:dyDescent="0.2">
      <c r="A87" s="9" t="s">
        <v>7</v>
      </c>
      <c r="B87" s="10">
        <v>57.1</v>
      </c>
      <c r="C87" s="9">
        <v>22.11</v>
      </c>
      <c r="D87" s="9">
        <v>4.8600000000000003</v>
      </c>
      <c r="E87" s="9">
        <v>24.38</v>
      </c>
      <c r="F87" s="29">
        <v>5.08</v>
      </c>
    </row>
    <row r="88" spans="1:6" x14ac:dyDescent="0.2">
      <c r="A88" s="6" t="s">
        <v>98</v>
      </c>
      <c r="B88" s="7">
        <v>70.8</v>
      </c>
      <c r="C88" s="6">
        <v>20.059999999999999</v>
      </c>
      <c r="D88" s="6">
        <v>3.42</v>
      </c>
      <c r="E88" s="6">
        <v>20.68</v>
      </c>
      <c r="F88" s="28">
        <v>9.33</v>
      </c>
    </row>
    <row r="89" spans="1:6" x14ac:dyDescent="0.2">
      <c r="A89" s="9" t="s">
        <v>15</v>
      </c>
      <c r="B89" s="10">
        <v>69.2</v>
      </c>
      <c r="C89" s="9">
        <v>22.49</v>
      </c>
      <c r="D89" s="9">
        <v>11.56</v>
      </c>
      <c r="E89" s="9">
        <v>21.81</v>
      </c>
      <c r="F89" s="29">
        <v>9.68</v>
      </c>
    </row>
    <row r="90" spans="1:6" x14ac:dyDescent="0.2">
      <c r="A90" s="6" t="s">
        <v>47</v>
      </c>
      <c r="B90" s="7">
        <v>83.9</v>
      </c>
      <c r="C90" s="6">
        <v>23.23</v>
      </c>
      <c r="D90" s="6">
        <v>7.23</v>
      </c>
      <c r="E90" s="6">
        <v>24.46</v>
      </c>
      <c r="F90" s="28">
        <v>5.67</v>
      </c>
    </row>
    <row r="91" spans="1:6" x14ac:dyDescent="0.2">
      <c r="A91" s="9" t="s">
        <v>37</v>
      </c>
      <c r="B91" s="10">
        <v>89.5</v>
      </c>
      <c r="C91" s="9">
        <v>21.77</v>
      </c>
      <c r="D91" s="9">
        <v>10.039999999999999</v>
      </c>
      <c r="E91" s="9">
        <v>21.87</v>
      </c>
      <c r="F91" s="29">
        <v>13</v>
      </c>
    </row>
    <row r="92" spans="1:6" x14ac:dyDescent="0.2">
      <c r="A92" s="6" t="s">
        <v>75</v>
      </c>
      <c r="B92" s="7">
        <v>94.7</v>
      </c>
      <c r="C92" s="6">
        <v>22.48</v>
      </c>
      <c r="D92" s="6">
        <v>9.19</v>
      </c>
      <c r="E92" s="6">
        <v>22.05</v>
      </c>
      <c r="F92" s="28">
        <v>7.3</v>
      </c>
    </row>
    <row r="93" spans="1:6" x14ac:dyDescent="0.2">
      <c r="A93" s="9" t="s">
        <v>27</v>
      </c>
      <c r="B93" s="10">
        <v>84.6</v>
      </c>
      <c r="C93" s="9">
        <v>25.9</v>
      </c>
      <c r="D93" s="9">
        <v>14.81</v>
      </c>
      <c r="E93" s="9">
        <v>20.329999999999998</v>
      </c>
      <c r="F93" s="29">
        <v>7.12</v>
      </c>
    </row>
    <row r="94" spans="1:6" x14ac:dyDescent="0.2">
      <c r="A94" s="6" t="s">
        <v>90</v>
      </c>
      <c r="B94" s="7">
        <v>65</v>
      </c>
      <c r="C94" s="6">
        <v>22.31</v>
      </c>
      <c r="D94" s="6">
        <v>7.18</v>
      </c>
      <c r="E94" s="6">
        <v>17.38</v>
      </c>
      <c r="F94" s="28">
        <v>8.33</v>
      </c>
    </row>
    <row r="95" spans="1:6" x14ac:dyDescent="0.2">
      <c r="A95" s="9" t="s">
        <v>117</v>
      </c>
      <c r="B95" s="10">
        <v>83.3</v>
      </c>
      <c r="C95" s="9">
        <v>21.38</v>
      </c>
      <c r="D95" s="9">
        <v>4.0599999999999996</v>
      </c>
      <c r="E95" s="9">
        <v>18.98</v>
      </c>
      <c r="F95" s="29">
        <v>8.4600000000000009</v>
      </c>
    </row>
    <row r="96" spans="1:6" x14ac:dyDescent="0.2">
      <c r="A96" s="6" t="s">
        <v>61</v>
      </c>
      <c r="B96" s="7">
        <v>85.2</v>
      </c>
      <c r="C96" s="6">
        <v>18.46</v>
      </c>
      <c r="D96" s="6">
        <v>11.62</v>
      </c>
      <c r="E96" s="6">
        <v>19.739999999999998</v>
      </c>
      <c r="F96" s="28">
        <v>16.25</v>
      </c>
    </row>
    <row r="97" spans="1:6" x14ac:dyDescent="0.2">
      <c r="A97" s="9" t="s">
        <v>43</v>
      </c>
      <c r="B97" s="10">
        <v>76.2</v>
      </c>
      <c r="C97" s="9">
        <v>24.12</v>
      </c>
      <c r="D97" s="9">
        <v>7.06</v>
      </c>
      <c r="E97" s="9">
        <v>21.47</v>
      </c>
      <c r="F97" s="29">
        <v>3.95</v>
      </c>
    </row>
    <row r="98" spans="1:6" x14ac:dyDescent="0.2">
      <c r="A98" s="6" t="s">
        <v>28</v>
      </c>
      <c r="B98" s="7">
        <v>66.7</v>
      </c>
      <c r="C98" s="6">
        <v>22.36</v>
      </c>
      <c r="D98" s="6">
        <v>6.26</v>
      </c>
      <c r="E98" s="6">
        <v>20.73</v>
      </c>
      <c r="F98" s="28">
        <v>5.77</v>
      </c>
    </row>
    <row r="99" spans="1:6" x14ac:dyDescent="0.2">
      <c r="A99" s="9" t="s">
        <v>14</v>
      </c>
      <c r="B99" s="10">
        <v>42.9</v>
      </c>
      <c r="C99" s="9">
        <v>25.36</v>
      </c>
      <c r="D99" s="9">
        <v>4.3</v>
      </c>
      <c r="E99" s="9">
        <v>20.57</v>
      </c>
      <c r="F99" s="29">
        <v>11.15</v>
      </c>
    </row>
    <row r="100" spans="1:6" x14ac:dyDescent="0.2">
      <c r="A100" s="6" t="s">
        <v>53</v>
      </c>
      <c r="B100" s="7">
        <v>77.3</v>
      </c>
      <c r="C100" s="6">
        <v>17.72</v>
      </c>
      <c r="D100" s="6">
        <v>11.88</v>
      </c>
      <c r="E100" s="6">
        <v>19.97</v>
      </c>
      <c r="F100" s="28">
        <v>10.130000000000001</v>
      </c>
    </row>
    <row r="101" spans="1:6" x14ac:dyDescent="0.2">
      <c r="A101" s="9" t="s">
        <v>74</v>
      </c>
      <c r="B101" s="10">
        <v>81.3</v>
      </c>
      <c r="C101" s="9">
        <v>18.440000000000001</v>
      </c>
      <c r="D101" s="9">
        <v>5.1100000000000003</v>
      </c>
      <c r="E101" s="9">
        <v>26.98</v>
      </c>
      <c r="F101" s="29">
        <v>9.74</v>
      </c>
    </row>
    <row r="102" spans="1:6" x14ac:dyDescent="0.2">
      <c r="A102" s="6" t="s">
        <v>59</v>
      </c>
      <c r="B102" s="7">
        <v>66.7</v>
      </c>
      <c r="C102" s="6">
        <v>22.39</v>
      </c>
      <c r="D102" s="6">
        <v>12.33</v>
      </c>
      <c r="E102" s="6">
        <v>18.86</v>
      </c>
      <c r="F102" s="28">
        <v>1.53</v>
      </c>
    </row>
    <row r="103" spans="1:6" x14ac:dyDescent="0.2">
      <c r="A103" s="9" t="s">
        <v>56</v>
      </c>
      <c r="B103" s="10">
        <v>41.2</v>
      </c>
      <c r="C103" s="9">
        <v>20.92</v>
      </c>
      <c r="D103" s="9">
        <v>4.1500000000000004</v>
      </c>
      <c r="E103" s="9">
        <v>19.75</v>
      </c>
      <c r="F103" s="29">
        <v>9</v>
      </c>
    </row>
    <row r="104" spans="1:6" x14ac:dyDescent="0.2">
      <c r="A104" s="6" t="s">
        <v>0</v>
      </c>
      <c r="B104" s="7">
        <v>52.4</v>
      </c>
      <c r="C104" s="6">
        <v>27.76</v>
      </c>
      <c r="D104" s="6">
        <v>13.13</v>
      </c>
      <c r="E104" s="6">
        <v>17.48</v>
      </c>
      <c r="F104" s="28">
        <v>8</v>
      </c>
    </row>
    <row r="105" spans="1:6" x14ac:dyDescent="0.2">
      <c r="A105" s="9" t="s">
        <v>31</v>
      </c>
      <c r="B105" s="10">
        <v>72.2</v>
      </c>
      <c r="C105" s="9">
        <v>20.69</v>
      </c>
      <c r="D105" s="9">
        <v>9.2200000000000006</v>
      </c>
      <c r="E105" s="9">
        <v>26.11</v>
      </c>
      <c r="F105" s="29">
        <v>6.26</v>
      </c>
    </row>
    <row r="106" spans="1:6" x14ac:dyDescent="0.2">
      <c r="A106" s="6" t="s">
        <v>62</v>
      </c>
      <c r="B106" s="7">
        <v>72.7</v>
      </c>
      <c r="C106" s="6">
        <v>23.27</v>
      </c>
      <c r="D106" s="6">
        <v>7.71</v>
      </c>
      <c r="E106" s="6">
        <v>20.69</v>
      </c>
      <c r="F106" s="28">
        <v>9.67</v>
      </c>
    </row>
    <row r="107" spans="1:6" x14ac:dyDescent="0.2">
      <c r="A107" s="9" t="s">
        <v>26</v>
      </c>
      <c r="B107" s="10">
        <v>62.5</v>
      </c>
      <c r="C107" s="9">
        <v>24.47</v>
      </c>
      <c r="D107" s="9">
        <v>14.56</v>
      </c>
      <c r="E107" s="9">
        <v>23.43</v>
      </c>
      <c r="F107" s="29">
        <v>7</v>
      </c>
    </row>
    <row r="108" spans="1:6" x14ac:dyDescent="0.2">
      <c r="A108" s="6" t="s">
        <v>57</v>
      </c>
      <c r="B108" s="7">
        <v>76.5</v>
      </c>
      <c r="C108" s="6">
        <v>23.91</v>
      </c>
      <c r="D108" s="6">
        <v>17.600000000000001</v>
      </c>
      <c r="E108" s="6">
        <v>18.7</v>
      </c>
      <c r="F108" s="28">
        <v>10.27</v>
      </c>
    </row>
    <row r="109" spans="1:6" x14ac:dyDescent="0.2">
      <c r="A109" s="9" t="s">
        <v>44</v>
      </c>
      <c r="B109" s="10">
        <v>64.7</v>
      </c>
      <c r="C109" s="9">
        <v>25.18</v>
      </c>
      <c r="D109" s="9">
        <v>4.24</v>
      </c>
      <c r="E109" s="9">
        <v>20.8</v>
      </c>
      <c r="F109" s="29">
        <v>7.46</v>
      </c>
    </row>
    <row r="110" spans="1:6" x14ac:dyDescent="0.2">
      <c r="A110" s="6" t="s">
        <v>128</v>
      </c>
      <c r="B110" s="7">
        <v>57.1</v>
      </c>
      <c r="C110" s="6">
        <v>25.63</v>
      </c>
      <c r="D110" s="6">
        <v>12.84</v>
      </c>
      <c r="E110" s="6">
        <v>22.54</v>
      </c>
      <c r="F110" s="28">
        <v>14.11</v>
      </c>
    </row>
    <row r="111" spans="1:6" x14ac:dyDescent="0.2">
      <c r="A111" s="9" t="s">
        <v>92</v>
      </c>
      <c r="B111" s="10">
        <v>61.5</v>
      </c>
      <c r="C111" s="9">
        <v>22.48</v>
      </c>
      <c r="D111" s="9">
        <v>7.24</v>
      </c>
      <c r="E111" s="9">
        <v>20.66</v>
      </c>
      <c r="F111" s="29">
        <v>6.77</v>
      </c>
    </row>
    <row r="112" spans="1:6" x14ac:dyDescent="0.2">
      <c r="A112" s="6" t="s">
        <v>100</v>
      </c>
      <c r="B112" s="7">
        <v>61.1</v>
      </c>
      <c r="C112" s="6">
        <v>21.71</v>
      </c>
      <c r="D112" s="6">
        <v>6.65</v>
      </c>
      <c r="E112" s="6">
        <v>21.6</v>
      </c>
      <c r="F112" s="28">
        <v>8.89</v>
      </c>
    </row>
    <row r="113" spans="1:6" x14ac:dyDescent="0.2">
      <c r="A113" s="9" t="s">
        <v>64</v>
      </c>
      <c r="B113" s="10">
        <v>95.5</v>
      </c>
      <c r="C113" s="9">
        <v>22.72</v>
      </c>
      <c r="D113" s="9">
        <v>12.43</v>
      </c>
      <c r="E113" s="9">
        <v>24.35</v>
      </c>
      <c r="F113" s="29">
        <v>5</v>
      </c>
    </row>
    <row r="114" spans="1:6" x14ac:dyDescent="0.2">
      <c r="A114" s="6" t="s">
        <v>32</v>
      </c>
      <c r="B114" s="7">
        <v>92.3</v>
      </c>
      <c r="C114" s="6">
        <v>20.58</v>
      </c>
      <c r="D114" s="6">
        <v>9.5</v>
      </c>
      <c r="E114" s="6">
        <v>21.9</v>
      </c>
      <c r="F114" s="28">
        <v>9.17</v>
      </c>
    </row>
    <row r="115" spans="1:6" x14ac:dyDescent="0.2">
      <c r="A115" s="9" t="s">
        <v>17</v>
      </c>
      <c r="B115" s="10">
        <v>65</v>
      </c>
      <c r="C115" s="9">
        <v>20.87</v>
      </c>
      <c r="D115" s="9">
        <v>4.92</v>
      </c>
      <c r="E115" s="9">
        <v>24.09</v>
      </c>
      <c r="F115" s="29">
        <v>10.11</v>
      </c>
    </row>
    <row r="116" spans="1:6" x14ac:dyDescent="0.2">
      <c r="A116" s="6" t="s">
        <v>41</v>
      </c>
      <c r="B116" s="7">
        <v>63.6</v>
      </c>
      <c r="C116" s="6">
        <v>21.37</v>
      </c>
      <c r="D116" s="6">
        <v>5.95</v>
      </c>
      <c r="E116" s="6">
        <v>17</v>
      </c>
      <c r="F116" s="28">
        <v>9.08</v>
      </c>
    </row>
    <row r="117" spans="1:6" x14ac:dyDescent="0.2">
      <c r="A117" s="9" t="s">
        <v>20</v>
      </c>
      <c r="B117" s="10">
        <v>58.8</v>
      </c>
      <c r="C117" s="9">
        <v>19.170000000000002</v>
      </c>
      <c r="D117" s="9">
        <v>8.41</v>
      </c>
      <c r="E117" s="9">
        <v>20.73</v>
      </c>
      <c r="F117" s="29">
        <v>8.67</v>
      </c>
    </row>
    <row r="118" spans="1:6" x14ac:dyDescent="0.2">
      <c r="A118" s="6" t="s">
        <v>80</v>
      </c>
      <c r="B118" s="7">
        <v>47.1</v>
      </c>
      <c r="C118" s="6">
        <v>21.1</v>
      </c>
      <c r="D118" s="6">
        <v>8.1300000000000008</v>
      </c>
      <c r="E118" s="6">
        <v>23.52</v>
      </c>
      <c r="F118" s="28">
        <v>12.17</v>
      </c>
    </row>
    <row r="119" spans="1:6" x14ac:dyDescent="0.2">
      <c r="A119" s="9" t="s">
        <v>29</v>
      </c>
      <c r="B119" s="10">
        <v>83.3</v>
      </c>
      <c r="C119" s="9">
        <v>22.09</v>
      </c>
      <c r="D119" s="9">
        <v>6</v>
      </c>
      <c r="E119" s="9">
        <v>18.510000000000002</v>
      </c>
      <c r="F119" s="29">
        <v>9.7200000000000006</v>
      </c>
    </row>
    <row r="120" spans="1:6" x14ac:dyDescent="0.2">
      <c r="A120" s="6" t="s">
        <v>25</v>
      </c>
      <c r="B120" s="7">
        <v>77.3</v>
      </c>
      <c r="C120" s="6">
        <v>22.37</v>
      </c>
      <c r="D120" s="6">
        <v>10.63</v>
      </c>
      <c r="E120" s="6">
        <v>24.21</v>
      </c>
      <c r="F120" s="28">
        <v>12.57</v>
      </c>
    </row>
    <row r="121" spans="1:6" x14ac:dyDescent="0.2">
      <c r="A121" s="2" t="s">
        <v>106</v>
      </c>
      <c r="B121" s="4">
        <v>80</v>
      </c>
      <c r="C121" s="2">
        <v>21.62</v>
      </c>
      <c r="D121" s="2">
        <v>7.67</v>
      </c>
      <c r="E121" s="2">
        <v>22.15</v>
      </c>
      <c r="F121" s="30">
        <v>13.31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121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7.332031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73.3</v>
      </c>
      <c r="C2" s="6">
        <v>24.35</v>
      </c>
      <c r="D2" s="6">
        <v>12.83</v>
      </c>
      <c r="E2" s="6">
        <v>19.23</v>
      </c>
      <c r="F2" s="28">
        <v>8.61</v>
      </c>
      <c r="H2">
        <v>1</v>
      </c>
      <c r="I2" t="s">
        <v>11</v>
      </c>
      <c r="J2">
        <f>VLOOKUP(I2,'ST 2009'!$A$2:$F$121,2)</f>
        <v>83.3</v>
      </c>
      <c r="K2">
        <f>VLOOKUP(I2,'ST 2009'!$A$2:$F$121,3)</f>
        <v>23.32</v>
      </c>
      <c r="L2">
        <f>VLOOKUP(I2,'ST 2009'!$A$2:$F$121,4)</f>
        <v>15.05</v>
      </c>
      <c r="M2">
        <f>VLOOKUP(I2,'ST 2009'!$A$2:$F$121,5)</f>
        <v>25.06</v>
      </c>
      <c r="N2">
        <f>VLOOKUP(I2,'ST 2009'!$A$2:$F$121,6)</f>
        <v>9.18</v>
      </c>
      <c r="O2">
        <v>2009</v>
      </c>
    </row>
    <row r="3" spans="1:15" x14ac:dyDescent="0.2">
      <c r="A3" s="9" t="s">
        <v>103</v>
      </c>
      <c r="B3" s="10">
        <v>41.2</v>
      </c>
      <c r="C3" s="9">
        <v>21.63</v>
      </c>
      <c r="D3" s="9">
        <v>6.42</v>
      </c>
      <c r="E3" s="9">
        <v>19.510000000000002</v>
      </c>
      <c r="F3" s="29">
        <v>11</v>
      </c>
      <c r="H3">
        <v>2</v>
      </c>
      <c r="I3" t="s">
        <v>61</v>
      </c>
      <c r="J3">
        <f>VLOOKUP(I3,'ST 2009'!$A$2:$F$121,2)</f>
        <v>88.9</v>
      </c>
      <c r="K3">
        <f>VLOOKUP(I3,'ST 2009'!$A$2:$F$121,3)</f>
        <v>26.02</v>
      </c>
      <c r="L3">
        <f>VLOOKUP(I3,'ST 2009'!$A$2:$F$121,4)</f>
        <v>13.17</v>
      </c>
      <c r="M3">
        <f>VLOOKUP(I3,'ST 2009'!$A$2:$F$121,5)</f>
        <v>21.4</v>
      </c>
      <c r="N3">
        <f>VLOOKUP(I3,'ST 2009'!$A$2:$F$121,6)</f>
        <v>9.9600000000000009</v>
      </c>
      <c r="O3">
        <v>2009</v>
      </c>
    </row>
    <row r="4" spans="1:15" x14ac:dyDescent="0.2">
      <c r="A4" s="6" t="s">
        <v>11</v>
      </c>
      <c r="B4" s="7">
        <v>83.3</v>
      </c>
      <c r="C4" s="6">
        <v>23.32</v>
      </c>
      <c r="D4" s="6">
        <v>15.05</v>
      </c>
      <c r="E4" s="6">
        <v>25.06</v>
      </c>
      <c r="F4" s="28">
        <v>9.18</v>
      </c>
      <c r="H4">
        <v>3</v>
      </c>
      <c r="I4" t="s">
        <v>108</v>
      </c>
      <c r="J4">
        <f>VLOOKUP(I4,'ST 2009'!$A$2:$F$121,2)</f>
        <v>71</v>
      </c>
      <c r="K4">
        <f>VLOOKUP(I4,'ST 2009'!$A$2:$F$121,3)</f>
        <v>26.38</v>
      </c>
      <c r="L4">
        <f>VLOOKUP(I4,'ST 2009'!$A$2:$F$121,4)</f>
        <v>7.5</v>
      </c>
      <c r="M4">
        <f>VLOOKUP(I4,'ST 2009'!$A$2:$F$121,5)</f>
        <v>20.98</v>
      </c>
      <c r="N4">
        <f>VLOOKUP(I4,'ST 2009'!$A$2:$F$121,6)</f>
        <v>4.2</v>
      </c>
      <c r="O4">
        <v>2009</v>
      </c>
    </row>
    <row r="5" spans="1:15" x14ac:dyDescent="0.2">
      <c r="A5" s="9" t="s">
        <v>5</v>
      </c>
      <c r="B5" s="10">
        <v>77.3</v>
      </c>
      <c r="C5" s="9">
        <v>24.91</v>
      </c>
      <c r="D5" s="9">
        <v>15.31</v>
      </c>
      <c r="E5" s="9">
        <v>21.04</v>
      </c>
      <c r="F5" s="29">
        <v>13.18</v>
      </c>
      <c r="H5">
        <v>4</v>
      </c>
      <c r="I5" t="s">
        <v>33</v>
      </c>
      <c r="J5">
        <f>VLOOKUP(I5,'ST 2009'!$A$2:$F$121,2)</f>
        <v>73.099999999999994</v>
      </c>
      <c r="K5">
        <f>VLOOKUP(I5,'ST 2009'!$A$2:$F$121,3)</f>
        <v>26.64</v>
      </c>
      <c r="L5">
        <f>VLOOKUP(I5,'ST 2009'!$A$2:$F$121,4)</f>
        <v>11.17</v>
      </c>
      <c r="M5">
        <f>VLOOKUP(I5,'ST 2009'!$A$2:$F$121,5)</f>
        <v>19.059999999999999</v>
      </c>
      <c r="N5">
        <f>VLOOKUP(I5,'ST 2009'!$A$2:$F$121,6)</f>
        <v>6.91</v>
      </c>
      <c r="O5">
        <v>2009</v>
      </c>
    </row>
    <row r="6" spans="1:15" x14ac:dyDescent="0.2">
      <c r="A6" s="6" t="s">
        <v>38</v>
      </c>
      <c r="B6" s="7">
        <v>64.7</v>
      </c>
      <c r="C6" s="6">
        <v>21.13</v>
      </c>
      <c r="D6" s="6">
        <v>9.5500000000000007</v>
      </c>
      <c r="E6" s="6">
        <v>18.84</v>
      </c>
      <c r="F6" s="28">
        <v>11.09</v>
      </c>
      <c r="H6">
        <v>5</v>
      </c>
      <c r="I6" t="s">
        <v>4</v>
      </c>
      <c r="J6">
        <f>VLOOKUP(I6,'ST 2009'!$A$2:$F$121,2)</f>
        <v>70</v>
      </c>
      <c r="K6">
        <f>VLOOKUP(I6,'ST 2009'!$A$2:$F$121,3)</f>
        <v>22.34</v>
      </c>
      <c r="L6">
        <f>VLOOKUP(I6,'ST 2009'!$A$2:$F$121,4)</f>
        <v>7.98</v>
      </c>
      <c r="M6">
        <f>VLOOKUP(I6,'ST 2009'!$A$2:$F$121,5)</f>
        <v>21.22</v>
      </c>
      <c r="N6">
        <f>VLOOKUP(I6,'ST 2009'!$A$2:$F$121,6)</f>
        <v>5.44</v>
      </c>
      <c r="O6">
        <v>2009</v>
      </c>
    </row>
    <row r="7" spans="1:15" x14ac:dyDescent="0.2">
      <c r="A7" s="9" t="s">
        <v>63</v>
      </c>
      <c r="B7" s="10">
        <v>72.7</v>
      </c>
      <c r="C7" s="9">
        <v>23.76</v>
      </c>
      <c r="D7" s="9">
        <v>8.4700000000000006</v>
      </c>
      <c r="E7" s="9">
        <v>21.14</v>
      </c>
      <c r="F7" s="29">
        <v>11.8</v>
      </c>
      <c r="H7">
        <v>6</v>
      </c>
      <c r="I7" t="s">
        <v>27</v>
      </c>
      <c r="J7">
        <f>VLOOKUP(I7,'ST 2009'!$A$2:$F$121,2)</f>
        <v>83.3</v>
      </c>
      <c r="K7">
        <f>VLOOKUP(I7,'ST 2009'!$A$2:$F$121,3)</f>
        <v>29.24</v>
      </c>
      <c r="L7">
        <f>VLOOKUP(I7,'ST 2009'!$A$2:$F$121,4)</f>
        <v>13.17</v>
      </c>
      <c r="M7">
        <f>VLOOKUP(I7,'ST 2009'!$A$2:$F$121,5)</f>
        <v>19.73</v>
      </c>
      <c r="N7">
        <f>VLOOKUP(I7,'ST 2009'!$A$2:$F$121,6)</f>
        <v>6</v>
      </c>
      <c r="O7">
        <v>2009</v>
      </c>
    </row>
    <row r="8" spans="1:15" x14ac:dyDescent="0.2">
      <c r="A8" s="6" t="s">
        <v>8</v>
      </c>
      <c r="B8" s="7">
        <v>78.900000000000006</v>
      </c>
      <c r="C8" s="6">
        <v>20.83</v>
      </c>
      <c r="D8" s="6">
        <v>8.4700000000000006</v>
      </c>
      <c r="E8" s="6">
        <v>18.149999999999999</v>
      </c>
      <c r="F8" s="28">
        <v>4.74</v>
      </c>
      <c r="H8">
        <v>7</v>
      </c>
      <c r="I8" t="s">
        <v>68</v>
      </c>
      <c r="J8">
        <f>VLOOKUP(I8,'ST 2009'!$A$2:$F$121,2)</f>
        <v>73.099999999999994</v>
      </c>
      <c r="K8">
        <f>VLOOKUP(I8,'ST 2009'!$A$2:$F$121,3)</f>
        <v>22.95</v>
      </c>
      <c r="L8">
        <f>VLOOKUP(I8,'ST 2009'!$A$2:$F$121,4)</f>
        <v>7.5</v>
      </c>
      <c r="M8">
        <f>VLOOKUP(I8,'ST 2009'!$A$2:$F$121,5)</f>
        <v>18.36</v>
      </c>
      <c r="N8">
        <f>VLOOKUP(I8,'ST 2009'!$A$2:$F$121,6)</f>
        <v>5.7</v>
      </c>
      <c r="O8">
        <v>2009</v>
      </c>
    </row>
    <row r="9" spans="1:15" x14ac:dyDescent="0.2">
      <c r="A9" s="9" t="s">
        <v>42</v>
      </c>
      <c r="B9" s="10">
        <v>75</v>
      </c>
      <c r="C9" s="9">
        <v>19.329999999999998</v>
      </c>
      <c r="D9" s="9">
        <v>5.35</v>
      </c>
      <c r="E9" s="9">
        <v>24</v>
      </c>
      <c r="F9" s="29">
        <v>10.039999999999999</v>
      </c>
      <c r="H9">
        <v>8</v>
      </c>
      <c r="I9" t="s">
        <v>110</v>
      </c>
      <c r="J9">
        <f>VLOOKUP(I9,'ST 2009'!$A$2:$F$121,2)</f>
        <v>68.400000000000006</v>
      </c>
      <c r="K9">
        <f>VLOOKUP(I9,'ST 2009'!$A$2:$F$121,3)</f>
        <v>28.52</v>
      </c>
      <c r="L9">
        <f>VLOOKUP(I9,'ST 2009'!$A$2:$F$121,4)</f>
        <v>13</v>
      </c>
      <c r="M9">
        <f>VLOOKUP(I9,'ST 2009'!$A$2:$F$121,5)</f>
        <v>20.43</v>
      </c>
      <c r="N9">
        <f>VLOOKUP(I9,'ST 2009'!$A$2:$F$121,6)</f>
        <v>11</v>
      </c>
      <c r="O9">
        <v>2009</v>
      </c>
    </row>
    <row r="10" spans="1:15" x14ac:dyDescent="0.2">
      <c r="A10" s="6" t="s">
        <v>19</v>
      </c>
      <c r="B10" s="7">
        <v>93.8</v>
      </c>
      <c r="C10" s="6">
        <v>23.7</v>
      </c>
      <c r="D10" s="6">
        <v>4.46</v>
      </c>
      <c r="E10" s="6">
        <v>23.54</v>
      </c>
      <c r="F10" s="28">
        <v>12.92</v>
      </c>
      <c r="H10">
        <v>9</v>
      </c>
      <c r="I10" t="s">
        <v>6</v>
      </c>
      <c r="J10">
        <f>VLOOKUP(I10,'ST 2009'!$A$2:$F$121,2)</f>
        <v>68.2</v>
      </c>
      <c r="K10">
        <f>VLOOKUP(I10,'ST 2009'!$A$2:$F$121,3)</f>
        <v>19.18</v>
      </c>
      <c r="L10">
        <f>VLOOKUP(I10,'ST 2009'!$A$2:$F$121,4)</f>
        <v>4.97</v>
      </c>
      <c r="M10">
        <f>VLOOKUP(I10,'ST 2009'!$A$2:$F$121,5)</f>
        <v>21.78</v>
      </c>
      <c r="N10">
        <f>VLOOKUP(I10,'ST 2009'!$A$2:$F$121,6)</f>
        <v>15.4</v>
      </c>
      <c r="O10">
        <v>2009</v>
      </c>
    </row>
    <row r="11" spans="1:15" x14ac:dyDescent="0.2">
      <c r="A11" s="9" t="s">
        <v>120</v>
      </c>
      <c r="B11" s="10">
        <v>82.6</v>
      </c>
      <c r="C11" s="9">
        <v>20.45</v>
      </c>
      <c r="D11" s="9">
        <v>8.73</v>
      </c>
      <c r="E11" s="9">
        <v>21.51</v>
      </c>
      <c r="F11" s="29">
        <v>3.84</v>
      </c>
      <c r="H11">
        <v>10</v>
      </c>
      <c r="I11" t="s">
        <v>64</v>
      </c>
      <c r="J11">
        <f>VLOOKUP(I11,'ST 2009'!$A$2:$F$121,2)</f>
        <v>87</v>
      </c>
      <c r="K11">
        <f>VLOOKUP(I11,'ST 2009'!$A$2:$F$121,3)</f>
        <v>23.67</v>
      </c>
      <c r="L11">
        <f>VLOOKUP(I11,'ST 2009'!$A$2:$F$121,4)</f>
        <v>10.82</v>
      </c>
      <c r="M11">
        <f>VLOOKUP(I11,'ST 2009'!$A$2:$F$121,5)</f>
        <v>20.22</v>
      </c>
      <c r="N11">
        <f>VLOOKUP(I11,'ST 2009'!$A$2:$F$121,6)</f>
        <v>7.82</v>
      </c>
      <c r="O11">
        <v>2009</v>
      </c>
    </row>
    <row r="12" spans="1:15" x14ac:dyDescent="0.2">
      <c r="A12" s="6" t="s">
        <v>94</v>
      </c>
      <c r="B12" s="7">
        <v>64.3</v>
      </c>
      <c r="C12" s="6">
        <v>21.94</v>
      </c>
      <c r="D12" s="6">
        <v>11.05</v>
      </c>
      <c r="E12" s="6">
        <v>22.08</v>
      </c>
      <c r="F12" s="28">
        <v>12.64</v>
      </c>
      <c r="H12">
        <v>11</v>
      </c>
      <c r="I12" t="s">
        <v>18</v>
      </c>
      <c r="J12">
        <f>VLOOKUP(I12,'ST 2009'!$A$2:$F$121,2)</f>
        <v>80</v>
      </c>
      <c r="K12">
        <f>VLOOKUP(I12,'ST 2009'!$A$2:$F$121,3)</f>
        <v>24.91</v>
      </c>
      <c r="L12">
        <f>VLOOKUP(I12,'ST 2009'!$A$2:$F$121,4)</f>
        <v>12</v>
      </c>
      <c r="M12">
        <f>VLOOKUP(I12,'ST 2009'!$A$2:$F$121,5)</f>
        <v>20.85</v>
      </c>
      <c r="N12">
        <f>VLOOKUP(I12,'ST 2009'!$A$2:$F$121,6)</f>
        <v>6.83</v>
      </c>
      <c r="O12">
        <v>2009</v>
      </c>
    </row>
    <row r="13" spans="1:15" x14ac:dyDescent="0.2">
      <c r="A13" s="9" t="s">
        <v>33</v>
      </c>
      <c r="B13" s="10">
        <v>73.099999999999994</v>
      </c>
      <c r="C13" s="9">
        <v>26.64</v>
      </c>
      <c r="D13" s="9">
        <v>11.17</v>
      </c>
      <c r="E13" s="9">
        <v>19.059999999999999</v>
      </c>
      <c r="F13" s="29">
        <v>6.91</v>
      </c>
      <c r="H13">
        <v>12</v>
      </c>
      <c r="I13" t="s">
        <v>122</v>
      </c>
      <c r="J13">
        <f>VLOOKUP(I13,'ST 2009'!$A$2:$F$121,2)</f>
        <v>71.400000000000006</v>
      </c>
      <c r="K13">
        <f>VLOOKUP(I13,'ST 2009'!$A$2:$F$121,3)</f>
        <v>21.83</v>
      </c>
      <c r="L13">
        <f>VLOOKUP(I13,'ST 2009'!$A$2:$F$121,4)</f>
        <v>6.21</v>
      </c>
      <c r="M13">
        <f>VLOOKUP(I13,'ST 2009'!$A$2:$F$121,5)</f>
        <v>21.62</v>
      </c>
      <c r="N13">
        <f>VLOOKUP(I13,'ST 2009'!$A$2:$F$121,6)</f>
        <v>6.44</v>
      </c>
      <c r="O13">
        <v>2009</v>
      </c>
    </row>
    <row r="14" spans="1:15" x14ac:dyDescent="0.2">
      <c r="A14" s="6" t="s">
        <v>79</v>
      </c>
      <c r="B14" s="7">
        <v>92.9</v>
      </c>
      <c r="C14" s="6">
        <v>21.18</v>
      </c>
      <c r="D14" s="6">
        <v>12.21</v>
      </c>
      <c r="E14" s="6">
        <v>19.25</v>
      </c>
      <c r="F14" s="28">
        <v>8.31</v>
      </c>
      <c r="H14">
        <v>13</v>
      </c>
      <c r="I14" t="s">
        <v>71</v>
      </c>
      <c r="J14">
        <f>VLOOKUP(I14,'ST 2009'!$A$2:$F$121,2)</f>
        <v>70</v>
      </c>
      <c r="K14">
        <f>VLOOKUP(I14,'ST 2009'!$A$2:$F$121,3)</f>
        <v>21.78</v>
      </c>
      <c r="L14">
        <f>VLOOKUP(I14,'ST 2009'!$A$2:$F$121,4)</f>
        <v>13.38</v>
      </c>
      <c r="M14">
        <f>VLOOKUP(I14,'ST 2009'!$A$2:$F$121,5)</f>
        <v>22.5</v>
      </c>
      <c r="N14">
        <f>VLOOKUP(I14,'ST 2009'!$A$2:$F$121,6)</f>
        <v>7.4</v>
      </c>
      <c r="O14">
        <v>2009</v>
      </c>
    </row>
    <row r="15" spans="1:15" x14ac:dyDescent="0.2">
      <c r="A15" s="9" t="s">
        <v>87</v>
      </c>
      <c r="B15" s="10">
        <v>57.1</v>
      </c>
      <c r="C15" s="9">
        <v>19.48</v>
      </c>
      <c r="D15" s="9">
        <v>8</v>
      </c>
      <c r="E15" s="9">
        <v>22.85</v>
      </c>
      <c r="F15" s="29">
        <v>7.92</v>
      </c>
      <c r="H15">
        <v>14</v>
      </c>
      <c r="I15" t="s">
        <v>139</v>
      </c>
      <c r="J15">
        <f>VLOOKUP(I15,'ST 2009'!$A$2:$F$121,2)</f>
        <v>73.3</v>
      </c>
      <c r="K15">
        <f>VLOOKUP(I15,'ST 2009'!$A$2:$F$121,3)</f>
        <v>18.52</v>
      </c>
      <c r="L15">
        <f>VLOOKUP(I15,'ST 2009'!$A$2:$F$121,4)</f>
        <v>6.81</v>
      </c>
      <c r="M15">
        <f>VLOOKUP(I15,'ST 2009'!$A$2:$F$121,5)</f>
        <v>22.86</v>
      </c>
      <c r="N15">
        <f>VLOOKUP(I15,'ST 2009'!$A$2:$F$121,6)</f>
        <v>8.52</v>
      </c>
      <c r="O15">
        <v>2009</v>
      </c>
    </row>
    <row r="16" spans="1:15" x14ac:dyDescent="0.2">
      <c r="A16" s="6" t="s">
        <v>66</v>
      </c>
      <c r="B16" s="7">
        <v>71.400000000000006</v>
      </c>
      <c r="C16" s="6">
        <v>17.670000000000002</v>
      </c>
      <c r="D16" s="6">
        <v>5.79</v>
      </c>
      <c r="E16" s="6">
        <v>20.63</v>
      </c>
      <c r="F16" s="28">
        <v>5.76</v>
      </c>
      <c r="H16">
        <v>15</v>
      </c>
      <c r="I16" t="s">
        <v>99</v>
      </c>
      <c r="J16">
        <f>VLOOKUP(I16,'ST 2009'!$A$2:$F$121,2)</f>
        <v>76.7</v>
      </c>
      <c r="K16">
        <f>VLOOKUP(I16,'ST 2009'!$A$2:$F$121,3)</f>
        <v>21.94</v>
      </c>
      <c r="L16">
        <f>VLOOKUP(I16,'ST 2009'!$A$2:$F$121,4)</f>
        <v>7.68</v>
      </c>
      <c r="M16">
        <f>VLOOKUP(I16,'ST 2009'!$A$2:$F$121,5)</f>
        <v>21.73</v>
      </c>
      <c r="N16">
        <f>VLOOKUP(I16,'ST 2009'!$A$2:$F$121,6)</f>
        <v>9.48</v>
      </c>
      <c r="O16">
        <v>2009</v>
      </c>
    </row>
    <row r="17" spans="1:15" x14ac:dyDescent="0.2">
      <c r="A17" s="9" t="s">
        <v>122</v>
      </c>
      <c r="B17" s="10">
        <v>71.400000000000006</v>
      </c>
      <c r="C17" s="9">
        <v>21.83</v>
      </c>
      <c r="D17" s="9">
        <v>6.21</v>
      </c>
      <c r="E17" s="9">
        <v>21.62</v>
      </c>
      <c r="F17" s="29">
        <v>6.44</v>
      </c>
      <c r="H17">
        <v>16</v>
      </c>
      <c r="I17" t="s">
        <v>25</v>
      </c>
      <c r="J17">
        <f>VLOOKUP(I17,'ST 2009'!$A$2:$F$121,2)</f>
        <v>70.8</v>
      </c>
      <c r="K17">
        <f>VLOOKUP(I17,'ST 2009'!$A$2:$F$121,3)</f>
        <v>19.27</v>
      </c>
      <c r="L17">
        <f>VLOOKUP(I17,'ST 2009'!$A$2:$F$121,4)</f>
        <v>7.29</v>
      </c>
      <c r="M17">
        <f>VLOOKUP(I17,'ST 2009'!$A$2:$F$121,5)</f>
        <v>26.39</v>
      </c>
      <c r="N17">
        <f>VLOOKUP(I17,'ST 2009'!$A$2:$F$121,6)</f>
        <v>6.71</v>
      </c>
      <c r="O17">
        <v>2009</v>
      </c>
    </row>
    <row r="18" spans="1:15" x14ac:dyDescent="0.2">
      <c r="A18" s="6" t="s">
        <v>72</v>
      </c>
      <c r="B18" s="7">
        <v>62.5</v>
      </c>
      <c r="C18" s="6">
        <v>20.21</v>
      </c>
      <c r="D18" s="6">
        <v>12.35</v>
      </c>
      <c r="E18" s="6">
        <v>21.82</v>
      </c>
      <c r="F18" s="28">
        <v>9.86</v>
      </c>
      <c r="H18">
        <v>17</v>
      </c>
      <c r="I18" t="s">
        <v>70</v>
      </c>
      <c r="J18">
        <f>VLOOKUP(I18,'ST 2009'!$A$2:$F$121,2)</f>
        <v>85</v>
      </c>
      <c r="K18">
        <f>VLOOKUP(I18,'ST 2009'!$A$2:$F$121,3)</f>
        <v>19.149999999999999</v>
      </c>
      <c r="L18">
        <f>VLOOKUP(I18,'ST 2009'!$A$2:$F$121,4)</f>
        <v>18.850000000000001</v>
      </c>
      <c r="M18">
        <f>VLOOKUP(I18,'ST 2009'!$A$2:$F$121,5)</f>
        <v>17.52</v>
      </c>
      <c r="N18">
        <f>VLOOKUP(I18,'ST 2009'!$A$2:$F$121,6)</f>
        <v>4</v>
      </c>
      <c r="O18">
        <v>2009</v>
      </c>
    </row>
    <row r="19" spans="1:15" x14ac:dyDescent="0.2">
      <c r="A19" s="9" t="s">
        <v>54</v>
      </c>
      <c r="B19" s="10">
        <v>73.900000000000006</v>
      </c>
      <c r="C19" s="9">
        <v>20.84</v>
      </c>
      <c r="D19" s="9">
        <v>13.5</v>
      </c>
      <c r="E19" s="9">
        <v>21.36</v>
      </c>
      <c r="F19" s="29">
        <v>4.5</v>
      </c>
      <c r="H19">
        <v>18</v>
      </c>
      <c r="I19" t="s">
        <v>57</v>
      </c>
      <c r="J19">
        <f>VLOOKUP(I19,'ST 2009'!$A$2:$F$121,2)</f>
        <v>80.8</v>
      </c>
      <c r="K19">
        <f>VLOOKUP(I19,'ST 2009'!$A$2:$F$121,3)</f>
        <v>22.42</v>
      </c>
      <c r="L19">
        <f>VLOOKUP(I19,'ST 2009'!$A$2:$F$121,4)</f>
        <v>8.19</v>
      </c>
      <c r="M19">
        <f>VLOOKUP(I19,'ST 2009'!$A$2:$F$121,5)</f>
        <v>20.95</v>
      </c>
      <c r="N19">
        <f>VLOOKUP(I19,'ST 2009'!$A$2:$F$121,6)</f>
        <v>11.35</v>
      </c>
      <c r="O19">
        <v>2009</v>
      </c>
    </row>
    <row r="20" spans="1:15" x14ac:dyDescent="0.2">
      <c r="A20" s="6" t="s">
        <v>110</v>
      </c>
      <c r="B20" s="7">
        <v>68.400000000000006</v>
      </c>
      <c r="C20" s="6">
        <v>28.52</v>
      </c>
      <c r="D20" s="6">
        <v>13</v>
      </c>
      <c r="E20" s="6">
        <v>20.43</v>
      </c>
      <c r="F20" s="28">
        <v>11</v>
      </c>
      <c r="H20">
        <v>19</v>
      </c>
      <c r="I20" t="s">
        <v>39</v>
      </c>
      <c r="J20">
        <f>VLOOKUP(I20,'ST 2009'!$A$2:$F$121,2)</f>
        <v>87.5</v>
      </c>
      <c r="K20">
        <f>VLOOKUP(I20,'ST 2009'!$A$2:$F$121,3)</f>
        <v>21.67</v>
      </c>
      <c r="L20">
        <f>VLOOKUP(I20,'ST 2009'!$A$2:$F$121,4)</f>
        <v>8.92</v>
      </c>
      <c r="M20">
        <f>VLOOKUP(I20,'ST 2009'!$A$2:$F$121,5)</f>
        <v>20.57</v>
      </c>
      <c r="N20">
        <f>VLOOKUP(I20,'ST 2009'!$A$2:$F$121,6)</f>
        <v>9.33</v>
      </c>
      <c r="O20">
        <v>2009</v>
      </c>
    </row>
    <row r="21" spans="1:15" x14ac:dyDescent="0.2">
      <c r="A21" s="9" t="s">
        <v>24</v>
      </c>
      <c r="B21" s="10">
        <v>65.599999999999994</v>
      </c>
      <c r="C21" s="9">
        <v>23.91</v>
      </c>
      <c r="D21" s="9">
        <v>14.38</v>
      </c>
      <c r="E21" s="9">
        <v>20.02</v>
      </c>
      <c r="F21" s="29">
        <v>11.64</v>
      </c>
      <c r="H21">
        <v>20</v>
      </c>
      <c r="I21" t="s">
        <v>34</v>
      </c>
      <c r="J21">
        <f>VLOOKUP(I21,'ST 2009'!$A$2:$F$121,2)</f>
        <v>75</v>
      </c>
      <c r="K21">
        <f>VLOOKUP(I21,'ST 2009'!$A$2:$F$121,3)</f>
        <v>23.22</v>
      </c>
      <c r="L21">
        <f>VLOOKUP(I21,'ST 2009'!$A$2:$F$121,4)</f>
        <v>10.43</v>
      </c>
      <c r="M21">
        <f>VLOOKUP(I21,'ST 2009'!$A$2:$F$121,5)</f>
        <v>22.76</v>
      </c>
      <c r="N21">
        <f>VLOOKUP(I21,'ST 2009'!$A$2:$F$121,6)</f>
        <v>8.3800000000000008</v>
      </c>
      <c r="O21">
        <v>2009</v>
      </c>
    </row>
    <row r="22" spans="1:15" x14ac:dyDescent="0.2">
      <c r="A22" s="6" t="s">
        <v>77</v>
      </c>
      <c r="B22" s="7">
        <v>55.6</v>
      </c>
      <c r="C22" s="6">
        <v>23.87</v>
      </c>
      <c r="D22" s="6">
        <v>3.33</v>
      </c>
      <c r="E22" s="6">
        <v>20.14</v>
      </c>
      <c r="F22" s="28">
        <v>10.78</v>
      </c>
      <c r="H22">
        <v>21</v>
      </c>
      <c r="I22" t="s">
        <v>28</v>
      </c>
      <c r="J22">
        <f>VLOOKUP(I22,'ST 2009'!$A$2:$F$121,2)</f>
        <v>78.599999999999994</v>
      </c>
      <c r="K22">
        <f>VLOOKUP(I22,'ST 2009'!$A$2:$F$121,3)</f>
        <v>24.43</v>
      </c>
      <c r="L22">
        <f>VLOOKUP(I22,'ST 2009'!$A$2:$F$121,4)</f>
        <v>9.8000000000000007</v>
      </c>
      <c r="M22">
        <f>VLOOKUP(I22,'ST 2009'!$A$2:$F$121,5)</f>
        <v>19.559999999999999</v>
      </c>
      <c r="N22">
        <f>VLOOKUP(I22,'ST 2009'!$A$2:$F$121,6)</f>
        <v>6.75</v>
      </c>
      <c r="O22">
        <v>2009</v>
      </c>
    </row>
    <row r="23" spans="1:15" x14ac:dyDescent="0.2">
      <c r="A23" s="9" t="s">
        <v>30</v>
      </c>
      <c r="B23" s="10">
        <v>75</v>
      </c>
      <c r="C23" s="9">
        <v>23.02</v>
      </c>
      <c r="D23" s="9">
        <v>8.31</v>
      </c>
      <c r="E23" s="9">
        <v>24.16</v>
      </c>
      <c r="F23" s="29">
        <v>15.11</v>
      </c>
      <c r="H23">
        <v>22</v>
      </c>
      <c r="I23" t="s">
        <v>26</v>
      </c>
      <c r="J23">
        <f>VLOOKUP(I23,'ST 2009'!$A$2:$F$121,2)</f>
        <v>70.599999999999994</v>
      </c>
      <c r="K23">
        <f>VLOOKUP(I23,'ST 2009'!$A$2:$F$121,3)</f>
        <v>18.86</v>
      </c>
      <c r="L23">
        <f>VLOOKUP(I23,'ST 2009'!$A$2:$F$121,4)</f>
        <v>13.61</v>
      </c>
      <c r="M23">
        <f>VLOOKUP(I23,'ST 2009'!$A$2:$F$121,5)</f>
        <v>24.59</v>
      </c>
      <c r="N23">
        <f>VLOOKUP(I23,'ST 2009'!$A$2:$F$121,6)</f>
        <v>2.06</v>
      </c>
      <c r="O23">
        <v>2009</v>
      </c>
    </row>
    <row r="24" spans="1:15" x14ac:dyDescent="0.2">
      <c r="A24" s="6" t="s">
        <v>101</v>
      </c>
      <c r="B24" s="7">
        <v>60.9</v>
      </c>
      <c r="C24" s="6">
        <v>25.75</v>
      </c>
      <c r="D24" s="6">
        <v>10.84</v>
      </c>
      <c r="E24" s="6">
        <v>22.68</v>
      </c>
      <c r="F24" s="28">
        <v>6.05</v>
      </c>
      <c r="H24">
        <v>23</v>
      </c>
      <c r="I24" t="s">
        <v>54</v>
      </c>
      <c r="J24">
        <f>VLOOKUP(I24,'ST 2009'!$A$2:$F$121,2)</f>
        <v>73.900000000000006</v>
      </c>
      <c r="K24">
        <f>VLOOKUP(I24,'ST 2009'!$A$2:$F$121,3)</f>
        <v>20.84</v>
      </c>
      <c r="L24">
        <f>VLOOKUP(I24,'ST 2009'!$A$2:$F$121,4)</f>
        <v>13.5</v>
      </c>
      <c r="M24">
        <f>VLOOKUP(I24,'ST 2009'!$A$2:$F$121,5)</f>
        <v>21.36</v>
      </c>
      <c r="N24">
        <f>VLOOKUP(I24,'ST 2009'!$A$2:$F$121,6)</f>
        <v>4.5</v>
      </c>
      <c r="O24">
        <v>2009</v>
      </c>
    </row>
    <row r="25" spans="1:15" x14ac:dyDescent="0.2">
      <c r="A25" s="9" t="s">
        <v>85</v>
      </c>
      <c r="B25" s="10">
        <v>79.2</v>
      </c>
      <c r="C25" s="9">
        <v>22.18</v>
      </c>
      <c r="D25" s="9">
        <v>6.16</v>
      </c>
      <c r="E25" s="9">
        <v>22.25</v>
      </c>
      <c r="F25" s="29">
        <v>7.84</v>
      </c>
      <c r="H25">
        <v>24</v>
      </c>
      <c r="I25" t="s">
        <v>24</v>
      </c>
      <c r="J25">
        <f>VLOOKUP(I25,'ST 2009'!$A$2:$F$121,2)</f>
        <v>65.599999999999994</v>
      </c>
      <c r="K25">
        <f>VLOOKUP(I25,'ST 2009'!$A$2:$F$121,3)</f>
        <v>23.91</v>
      </c>
      <c r="L25">
        <f>VLOOKUP(I25,'ST 2009'!$A$2:$F$121,4)</f>
        <v>14.38</v>
      </c>
      <c r="M25">
        <f>VLOOKUP(I25,'ST 2009'!$A$2:$F$121,5)</f>
        <v>20.02</v>
      </c>
      <c r="N25">
        <f>VLOOKUP(I25,'ST 2009'!$A$2:$F$121,6)</f>
        <v>11.64</v>
      </c>
      <c r="O25">
        <v>2009</v>
      </c>
    </row>
    <row r="26" spans="1:15" x14ac:dyDescent="0.2">
      <c r="A26" s="6" t="s">
        <v>89</v>
      </c>
      <c r="B26" s="7">
        <v>62.5</v>
      </c>
      <c r="C26" s="6">
        <v>23.41</v>
      </c>
      <c r="D26" s="6">
        <v>10.76</v>
      </c>
      <c r="E26" s="6">
        <v>20.83</v>
      </c>
      <c r="F26" s="28">
        <v>9.48</v>
      </c>
      <c r="H26">
        <v>25</v>
      </c>
      <c r="I26" t="s">
        <v>20</v>
      </c>
      <c r="J26">
        <f>VLOOKUP(I26,'ST 2009'!$A$2:$F$121,2)</f>
        <v>86.7</v>
      </c>
      <c r="K26">
        <f>VLOOKUP(I26,'ST 2009'!$A$2:$F$121,3)</f>
        <v>21.87</v>
      </c>
      <c r="L26">
        <f>VLOOKUP(I26,'ST 2009'!$A$2:$F$121,4)</f>
        <v>10.36</v>
      </c>
      <c r="M26">
        <f>VLOOKUP(I26,'ST 2009'!$A$2:$F$121,5)</f>
        <v>24.21</v>
      </c>
      <c r="N26">
        <f>VLOOKUP(I26,'ST 2009'!$A$2:$F$121,6)</f>
        <v>8.75</v>
      </c>
      <c r="O26">
        <v>2009</v>
      </c>
    </row>
    <row r="27" spans="1:15" x14ac:dyDescent="0.2">
      <c r="A27" s="9" t="s">
        <v>81</v>
      </c>
      <c r="B27" s="10">
        <v>58.8</v>
      </c>
      <c r="C27" s="9">
        <v>20.32</v>
      </c>
      <c r="D27" s="9">
        <v>4.93</v>
      </c>
      <c r="E27" s="9">
        <v>21.34</v>
      </c>
      <c r="F27" s="29">
        <v>9.75</v>
      </c>
    </row>
    <row r="28" spans="1:15" x14ac:dyDescent="0.2">
      <c r="A28" s="6" t="s">
        <v>108</v>
      </c>
      <c r="B28" s="7">
        <v>71</v>
      </c>
      <c r="C28" s="6">
        <v>26.38</v>
      </c>
      <c r="D28" s="6">
        <v>7.5</v>
      </c>
      <c r="E28" s="6">
        <v>20.98</v>
      </c>
      <c r="F28" s="28">
        <v>4.2</v>
      </c>
    </row>
    <row r="29" spans="1:15" x14ac:dyDescent="0.2">
      <c r="A29" s="9" t="s">
        <v>9</v>
      </c>
      <c r="B29" s="10">
        <v>66.7</v>
      </c>
      <c r="C29" s="9">
        <v>19.03</v>
      </c>
      <c r="D29" s="9">
        <v>4.76</v>
      </c>
      <c r="E29" s="9">
        <v>22.08</v>
      </c>
      <c r="F29" s="29">
        <v>6.1</v>
      </c>
    </row>
    <row r="30" spans="1:15" x14ac:dyDescent="0.2">
      <c r="A30" s="6" t="s">
        <v>95</v>
      </c>
      <c r="B30" s="7">
        <v>71.400000000000006</v>
      </c>
      <c r="C30" s="6">
        <v>20.65</v>
      </c>
      <c r="D30" s="6">
        <v>12.88</v>
      </c>
      <c r="E30" s="6">
        <v>18.09</v>
      </c>
      <c r="F30" s="28">
        <v>7.16</v>
      </c>
    </row>
    <row r="31" spans="1:15" x14ac:dyDescent="0.2">
      <c r="A31" s="9" t="s">
        <v>88</v>
      </c>
      <c r="B31" s="10">
        <v>70.400000000000006</v>
      </c>
      <c r="C31" s="9">
        <v>20.75</v>
      </c>
      <c r="D31" s="9">
        <v>16.96</v>
      </c>
      <c r="E31" s="9">
        <v>21.36</v>
      </c>
      <c r="F31" s="29">
        <v>8</v>
      </c>
    </row>
    <row r="32" spans="1:15" x14ac:dyDescent="0.2">
      <c r="A32" s="6" t="s">
        <v>73</v>
      </c>
      <c r="B32" s="7">
        <v>93.8</v>
      </c>
      <c r="C32" s="6">
        <v>21.45</v>
      </c>
      <c r="D32" s="6">
        <v>9.9700000000000006</v>
      </c>
      <c r="E32" s="6">
        <v>20.350000000000001</v>
      </c>
      <c r="F32" s="28">
        <v>10</v>
      </c>
    </row>
    <row r="33" spans="1:6" x14ac:dyDescent="0.2">
      <c r="A33" s="9" t="s">
        <v>22</v>
      </c>
      <c r="B33" s="10">
        <v>90.9</v>
      </c>
      <c r="C33" s="9">
        <v>22.12</v>
      </c>
      <c r="D33" s="9">
        <v>11.09</v>
      </c>
      <c r="E33" s="9">
        <v>25.71</v>
      </c>
      <c r="F33" s="29">
        <v>10.52</v>
      </c>
    </row>
    <row r="34" spans="1:6" x14ac:dyDescent="0.2">
      <c r="A34" s="6" t="s">
        <v>71</v>
      </c>
      <c r="B34" s="7">
        <v>70</v>
      </c>
      <c r="C34" s="6">
        <v>21.78</v>
      </c>
      <c r="D34" s="6">
        <v>13.38</v>
      </c>
      <c r="E34" s="6">
        <v>22.5</v>
      </c>
      <c r="F34" s="28">
        <v>7.4</v>
      </c>
    </row>
    <row r="35" spans="1:6" x14ac:dyDescent="0.2">
      <c r="A35" s="9" t="s">
        <v>105</v>
      </c>
      <c r="B35" s="10">
        <v>63.2</v>
      </c>
      <c r="C35" s="9">
        <v>22.32</v>
      </c>
      <c r="D35" s="9">
        <v>6.52</v>
      </c>
      <c r="E35" s="9">
        <v>22.06</v>
      </c>
      <c r="F35" s="29">
        <v>1.67</v>
      </c>
    </row>
    <row r="36" spans="1:6" x14ac:dyDescent="0.2">
      <c r="A36" s="6" t="s">
        <v>67</v>
      </c>
      <c r="B36" s="7">
        <v>80</v>
      </c>
      <c r="C36" s="6">
        <v>22.87</v>
      </c>
      <c r="D36" s="6">
        <v>7.06</v>
      </c>
      <c r="E36" s="6">
        <v>20.69</v>
      </c>
      <c r="F36" s="28">
        <v>11.42</v>
      </c>
    </row>
    <row r="37" spans="1:6" x14ac:dyDescent="0.2">
      <c r="A37" s="9" t="s">
        <v>115</v>
      </c>
      <c r="B37" s="10">
        <v>68.400000000000006</v>
      </c>
      <c r="C37" s="9">
        <v>20.48</v>
      </c>
      <c r="D37" s="9">
        <v>10.93</v>
      </c>
      <c r="E37" s="9">
        <v>24.51</v>
      </c>
      <c r="F37" s="29">
        <v>11.33</v>
      </c>
    </row>
    <row r="38" spans="1:6" x14ac:dyDescent="0.2">
      <c r="A38" s="6" t="s">
        <v>125</v>
      </c>
      <c r="B38" s="7">
        <v>56.3</v>
      </c>
      <c r="C38" s="6">
        <v>19.32</v>
      </c>
      <c r="D38" s="6">
        <v>4.17</v>
      </c>
      <c r="E38" s="6">
        <v>23.05</v>
      </c>
      <c r="F38" s="28">
        <v>7.67</v>
      </c>
    </row>
    <row r="39" spans="1:6" x14ac:dyDescent="0.2">
      <c r="A39" s="9" t="s">
        <v>76</v>
      </c>
      <c r="B39" s="10">
        <v>56</v>
      </c>
      <c r="C39" s="9">
        <v>24.15</v>
      </c>
      <c r="D39" s="9">
        <v>10.3</v>
      </c>
      <c r="E39" s="9">
        <v>23.19</v>
      </c>
      <c r="F39" s="29">
        <v>6.97</v>
      </c>
    </row>
    <row r="40" spans="1:6" x14ac:dyDescent="0.2">
      <c r="A40" s="6" t="s">
        <v>68</v>
      </c>
      <c r="B40" s="7">
        <v>73.099999999999994</v>
      </c>
      <c r="C40" s="6">
        <v>22.95</v>
      </c>
      <c r="D40" s="6">
        <v>7.5</v>
      </c>
      <c r="E40" s="6">
        <v>18.36</v>
      </c>
      <c r="F40" s="28">
        <v>5.7</v>
      </c>
    </row>
    <row r="41" spans="1:6" x14ac:dyDescent="0.2">
      <c r="A41" s="9" t="s">
        <v>52</v>
      </c>
      <c r="B41" s="10">
        <v>65</v>
      </c>
      <c r="C41" s="9">
        <v>21.44</v>
      </c>
      <c r="D41" s="9">
        <v>6.07</v>
      </c>
      <c r="E41" s="9">
        <v>18.11</v>
      </c>
      <c r="F41" s="29">
        <v>2.19</v>
      </c>
    </row>
    <row r="42" spans="1:6" x14ac:dyDescent="0.2">
      <c r="A42" s="6" t="s">
        <v>118</v>
      </c>
      <c r="B42" s="7">
        <v>68.400000000000006</v>
      </c>
      <c r="C42" s="6">
        <v>21.54</v>
      </c>
      <c r="D42" s="6">
        <v>7.13</v>
      </c>
      <c r="E42" s="6">
        <v>23.47</v>
      </c>
      <c r="F42" s="28">
        <v>13</v>
      </c>
    </row>
    <row r="43" spans="1:6" x14ac:dyDescent="0.2">
      <c r="A43" s="9" t="s">
        <v>36</v>
      </c>
      <c r="B43" s="10">
        <v>61.9</v>
      </c>
      <c r="C43" s="9">
        <v>26.32</v>
      </c>
      <c r="D43" s="9">
        <v>10.4</v>
      </c>
      <c r="E43" s="9">
        <v>20.9</v>
      </c>
      <c r="F43" s="29">
        <v>4.67</v>
      </c>
    </row>
    <row r="44" spans="1:6" x14ac:dyDescent="0.2">
      <c r="A44" s="6" t="s">
        <v>127</v>
      </c>
      <c r="B44" s="7">
        <v>68.400000000000006</v>
      </c>
      <c r="C44" s="6">
        <v>21.09</v>
      </c>
      <c r="D44" s="6">
        <v>10.91</v>
      </c>
      <c r="E44" s="6">
        <v>14.98</v>
      </c>
      <c r="F44" s="28">
        <v>9</v>
      </c>
    </row>
    <row r="45" spans="1:6" x14ac:dyDescent="0.2">
      <c r="A45" s="9" t="s">
        <v>86</v>
      </c>
      <c r="B45" s="10">
        <v>68.8</v>
      </c>
      <c r="C45" s="9">
        <v>23.25</v>
      </c>
      <c r="D45" s="9">
        <v>12.52</v>
      </c>
      <c r="E45" s="9">
        <v>21.69</v>
      </c>
      <c r="F45" s="29">
        <v>6.64</v>
      </c>
    </row>
    <row r="46" spans="1:6" x14ac:dyDescent="0.2">
      <c r="A46" s="6" t="s">
        <v>65</v>
      </c>
      <c r="B46" s="7">
        <v>75</v>
      </c>
      <c r="C46" s="6">
        <v>21.02</v>
      </c>
      <c r="D46" s="6">
        <v>12.33</v>
      </c>
      <c r="E46" s="6">
        <v>19.62</v>
      </c>
      <c r="F46" s="28">
        <v>8.6999999999999993</v>
      </c>
    </row>
    <row r="47" spans="1:6" x14ac:dyDescent="0.2">
      <c r="A47" s="9" t="s">
        <v>58</v>
      </c>
      <c r="B47" s="10">
        <v>72.7</v>
      </c>
      <c r="C47" s="9">
        <v>18.059999999999999</v>
      </c>
      <c r="D47" s="9">
        <v>9</v>
      </c>
      <c r="E47" s="9">
        <v>20.149999999999999</v>
      </c>
      <c r="F47" s="29">
        <v>6.15</v>
      </c>
    </row>
    <row r="48" spans="1:6" x14ac:dyDescent="0.2">
      <c r="A48" s="6" t="s">
        <v>21</v>
      </c>
      <c r="B48" s="7">
        <v>60</v>
      </c>
      <c r="C48" s="6">
        <v>19.62</v>
      </c>
      <c r="D48" s="6">
        <v>4.5</v>
      </c>
      <c r="E48" s="6">
        <v>21.87</v>
      </c>
      <c r="F48" s="28">
        <v>10.67</v>
      </c>
    </row>
    <row r="49" spans="1:6" x14ac:dyDescent="0.2">
      <c r="A49" s="9" t="s">
        <v>12</v>
      </c>
      <c r="B49" s="10">
        <v>72.2</v>
      </c>
      <c r="C49" s="9">
        <v>24.12</v>
      </c>
      <c r="D49" s="9">
        <v>11.35</v>
      </c>
      <c r="E49" s="9">
        <v>24.82</v>
      </c>
      <c r="F49" s="29">
        <v>6.65</v>
      </c>
    </row>
    <row r="50" spans="1:6" x14ac:dyDescent="0.2">
      <c r="A50" s="6" t="s">
        <v>70</v>
      </c>
      <c r="B50" s="7">
        <v>85</v>
      </c>
      <c r="C50" s="6">
        <v>19.149999999999999</v>
      </c>
      <c r="D50" s="6">
        <v>18.850000000000001</v>
      </c>
      <c r="E50" s="6">
        <v>17.52</v>
      </c>
      <c r="F50" s="28">
        <v>4</v>
      </c>
    </row>
    <row r="51" spans="1:6" x14ac:dyDescent="0.2">
      <c r="A51" s="9" t="s">
        <v>78</v>
      </c>
      <c r="B51" s="10">
        <v>88.2</v>
      </c>
      <c r="C51" s="9">
        <v>19.53</v>
      </c>
      <c r="D51" s="9">
        <v>12</v>
      </c>
      <c r="E51" s="9">
        <v>23.77</v>
      </c>
      <c r="F51" s="29">
        <v>8</v>
      </c>
    </row>
    <row r="52" spans="1:6" x14ac:dyDescent="0.2">
      <c r="A52" s="6" t="s">
        <v>97</v>
      </c>
      <c r="B52" s="7">
        <v>72</v>
      </c>
      <c r="C52" s="6">
        <v>23.14</v>
      </c>
      <c r="D52" s="6">
        <v>5.86</v>
      </c>
      <c r="E52" s="6">
        <v>21.42</v>
      </c>
      <c r="F52" s="28">
        <v>12.1</v>
      </c>
    </row>
    <row r="53" spans="1:6" x14ac:dyDescent="0.2">
      <c r="A53" s="9" t="s">
        <v>1</v>
      </c>
      <c r="B53" s="10">
        <v>68.8</v>
      </c>
      <c r="C53" s="9">
        <v>20.56</v>
      </c>
      <c r="D53" s="9">
        <v>3</v>
      </c>
      <c r="E53" s="9">
        <v>23.42</v>
      </c>
      <c r="F53" s="29">
        <v>12.95</v>
      </c>
    </row>
    <row r="54" spans="1:6" x14ac:dyDescent="0.2">
      <c r="A54" s="6" t="s">
        <v>39</v>
      </c>
      <c r="B54" s="7">
        <v>87.5</v>
      </c>
      <c r="C54" s="6">
        <v>21.67</v>
      </c>
      <c r="D54" s="6">
        <v>8.92</v>
      </c>
      <c r="E54" s="6">
        <v>20.57</v>
      </c>
      <c r="F54" s="28">
        <v>9.33</v>
      </c>
    </row>
    <row r="55" spans="1:6" x14ac:dyDescent="0.2">
      <c r="A55" s="9" t="s">
        <v>93</v>
      </c>
      <c r="B55" s="10">
        <v>58.3</v>
      </c>
      <c r="C55" s="9">
        <v>15.51</v>
      </c>
      <c r="D55" s="9">
        <v>7.84</v>
      </c>
      <c r="E55" s="9">
        <v>22.12</v>
      </c>
      <c r="F55" s="29">
        <v>11.14</v>
      </c>
    </row>
    <row r="56" spans="1:6" x14ac:dyDescent="0.2">
      <c r="A56" s="6" t="s">
        <v>84</v>
      </c>
      <c r="B56" s="7">
        <v>73.3</v>
      </c>
      <c r="C56" s="6">
        <v>23.8</v>
      </c>
      <c r="D56" s="6">
        <v>8.67</v>
      </c>
      <c r="E56" s="6">
        <v>22.33</v>
      </c>
      <c r="F56" s="28">
        <v>5.62</v>
      </c>
    </row>
    <row r="57" spans="1:6" x14ac:dyDescent="0.2">
      <c r="A57" s="9" t="s">
        <v>104</v>
      </c>
      <c r="B57" s="10">
        <v>87</v>
      </c>
      <c r="C57" s="9">
        <v>25.85</v>
      </c>
      <c r="D57" s="9">
        <v>7.91</v>
      </c>
      <c r="E57" s="9">
        <v>22.17</v>
      </c>
      <c r="F57" s="29">
        <v>7.73</v>
      </c>
    </row>
    <row r="58" spans="1:6" x14ac:dyDescent="0.2">
      <c r="A58" s="6" t="s">
        <v>91</v>
      </c>
      <c r="B58" s="7">
        <v>81.8</v>
      </c>
      <c r="C58" s="6">
        <v>19.63</v>
      </c>
      <c r="D58" s="6">
        <v>6.46</v>
      </c>
      <c r="E58" s="6">
        <v>22.08</v>
      </c>
      <c r="F58" s="28">
        <v>9.9700000000000006</v>
      </c>
    </row>
    <row r="59" spans="1:6" x14ac:dyDescent="0.2">
      <c r="A59" s="9" t="s">
        <v>107</v>
      </c>
      <c r="B59" s="10">
        <v>76.5</v>
      </c>
      <c r="C59" s="9">
        <v>22.65</v>
      </c>
      <c r="D59" s="9">
        <v>13.2</v>
      </c>
      <c r="E59" s="9">
        <v>24.11</v>
      </c>
      <c r="F59" s="29">
        <v>6.55</v>
      </c>
    </row>
    <row r="60" spans="1:6" x14ac:dyDescent="0.2">
      <c r="A60" s="6" t="s">
        <v>34</v>
      </c>
      <c r="B60" s="7">
        <v>75</v>
      </c>
      <c r="C60" s="6">
        <v>23.22</v>
      </c>
      <c r="D60" s="6">
        <v>10.43</v>
      </c>
      <c r="E60" s="6">
        <v>22.76</v>
      </c>
      <c r="F60" s="28">
        <v>8.3800000000000008</v>
      </c>
    </row>
    <row r="61" spans="1:6" x14ac:dyDescent="0.2">
      <c r="A61" s="9" t="s">
        <v>35</v>
      </c>
      <c r="B61" s="10">
        <v>76.2</v>
      </c>
      <c r="C61" s="9">
        <v>24.82</v>
      </c>
      <c r="D61" s="9">
        <v>10.07</v>
      </c>
      <c r="E61" s="9">
        <v>21.98</v>
      </c>
      <c r="F61" s="29">
        <v>13.31</v>
      </c>
    </row>
    <row r="62" spans="1:6" x14ac:dyDescent="0.2">
      <c r="A62" s="6" t="s">
        <v>10</v>
      </c>
      <c r="B62" s="7">
        <v>96.3</v>
      </c>
      <c r="C62" s="6">
        <v>20.87</v>
      </c>
      <c r="D62" s="6">
        <v>9.52</v>
      </c>
      <c r="E62" s="6">
        <v>22.46</v>
      </c>
      <c r="F62" s="28">
        <v>2.85</v>
      </c>
    </row>
    <row r="63" spans="1:6" x14ac:dyDescent="0.2">
      <c r="A63" s="9" t="s">
        <v>49</v>
      </c>
      <c r="B63" s="10">
        <v>73.3</v>
      </c>
      <c r="C63" s="9">
        <v>18.52</v>
      </c>
      <c r="D63" s="9">
        <v>6.81</v>
      </c>
      <c r="E63" s="9">
        <v>22.86</v>
      </c>
      <c r="F63" s="29">
        <v>8.52</v>
      </c>
    </row>
    <row r="64" spans="1:6" x14ac:dyDescent="0.2">
      <c r="A64" s="6" t="s">
        <v>83</v>
      </c>
      <c r="B64" s="7">
        <v>85.7</v>
      </c>
      <c r="C64" s="6">
        <v>24.09</v>
      </c>
      <c r="D64" s="6">
        <v>11.59</v>
      </c>
      <c r="E64" s="6">
        <v>19.61</v>
      </c>
      <c r="F64" s="28">
        <v>11.81</v>
      </c>
    </row>
    <row r="65" spans="1:6" x14ac:dyDescent="0.2">
      <c r="A65" s="9" t="s">
        <v>69</v>
      </c>
      <c r="B65" s="10">
        <v>66.7</v>
      </c>
      <c r="C65" s="9">
        <v>23.66</v>
      </c>
      <c r="D65" s="9">
        <v>0.17</v>
      </c>
      <c r="E65" s="9">
        <v>20.97</v>
      </c>
      <c r="F65" s="29">
        <v>5.5</v>
      </c>
    </row>
    <row r="66" spans="1:6" x14ac:dyDescent="0.2">
      <c r="A66" s="6" t="s">
        <v>111</v>
      </c>
      <c r="B66" s="7">
        <v>61.9</v>
      </c>
      <c r="C66" s="6">
        <v>19.170000000000002</v>
      </c>
      <c r="D66" s="6">
        <v>3.58</v>
      </c>
      <c r="E66" s="6">
        <v>23.79</v>
      </c>
      <c r="F66" s="28">
        <v>9.57</v>
      </c>
    </row>
    <row r="67" spans="1:6" x14ac:dyDescent="0.2">
      <c r="A67" s="9" t="s">
        <v>50</v>
      </c>
      <c r="B67" s="10">
        <v>56.3</v>
      </c>
      <c r="C67" s="9">
        <v>20.53</v>
      </c>
      <c r="D67" s="9">
        <v>9.08</v>
      </c>
      <c r="E67" s="9">
        <v>20.73</v>
      </c>
      <c r="F67" s="29">
        <v>10.43</v>
      </c>
    </row>
    <row r="68" spans="1:6" x14ac:dyDescent="0.2">
      <c r="A68" s="6" t="s">
        <v>82</v>
      </c>
      <c r="B68" s="7">
        <v>84</v>
      </c>
      <c r="C68" s="6">
        <v>20.53</v>
      </c>
      <c r="D68" s="6">
        <v>13.3</v>
      </c>
      <c r="E68" s="6">
        <v>21.14</v>
      </c>
      <c r="F68" s="28">
        <v>5.57</v>
      </c>
    </row>
    <row r="69" spans="1:6" x14ac:dyDescent="0.2">
      <c r="A69" s="9" t="s">
        <v>46</v>
      </c>
      <c r="B69" s="10">
        <v>83.3</v>
      </c>
      <c r="C69" s="9">
        <v>21.84</v>
      </c>
      <c r="D69" s="9">
        <v>9.4499999999999993</v>
      </c>
      <c r="E69" s="9">
        <v>22.08</v>
      </c>
      <c r="F69" s="29">
        <v>10.18</v>
      </c>
    </row>
    <row r="70" spans="1:6" x14ac:dyDescent="0.2">
      <c r="A70" s="6" t="s">
        <v>16</v>
      </c>
      <c r="B70" s="7">
        <v>66.7</v>
      </c>
      <c r="C70" s="6">
        <v>22.29</v>
      </c>
      <c r="D70" s="6">
        <v>5.91</v>
      </c>
      <c r="E70" s="6">
        <v>21.68</v>
      </c>
      <c r="F70" s="28">
        <v>11.38</v>
      </c>
    </row>
    <row r="71" spans="1:6" x14ac:dyDescent="0.2">
      <c r="A71" s="9" t="s">
        <v>51</v>
      </c>
      <c r="B71" s="10">
        <v>76</v>
      </c>
      <c r="C71" s="9">
        <v>21.89</v>
      </c>
      <c r="D71" s="9">
        <v>9.74</v>
      </c>
      <c r="E71" s="9">
        <v>19.670000000000002</v>
      </c>
      <c r="F71" s="29">
        <v>10.48</v>
      </c>
    </row>
    <row r="72" spans="1:6" x14ac:dyDescent="0.2">
      <c r="A72" s="6" t="s">
        <v>55</v>
      </c>
      <c r="B72" s="7">
        <v>72</v>
      </c>
      <c r="C72" s="6">
        <v>20.61</v>
      </c>
      <c r="D72" s="6">
        <v>6.3</v>
      </c>
      <c r="E72" s="6">
        <v>21.44</v>
      </c>
      <c r="F72" s="28">
        <v>9.94</v>
      </c>
    </row>
    <row r="73" spans="1:6" x14ac:dyDescent="0.2">
      <c r="A73" s="9" t="s">
        <v>23</v>
      </c>
      <c r="B73" s="10">
        <v>86.4</v>
      </c>
      <c r="C73" s="9">
        <v>21.7</v>
      </c>
      <c r="D73" s="9">
        <v>12.89</v>
      </c>
      <c r="E73" s="9">
        <v>21.98</v>
      </c>
      <c r="F73" s="29">
        <v>12.75</v>
      </c>
    </row>
    <row r="74" spans="1:6" x14ac:dyDescent="0.2">
      <c r="A74" s="6" t="s">
        <v>13</v>
      </c>
      <c r="B74" s="7">
        <v>72.400000000000006</v>
      </c>
      <c r="C74" s="6">
        <v>20.76</v>
      </c>
      <c r="D74" s="6">
        <v>10.16</v>
      </c>
      <c r="E74" s="6">
        <v>17.809999999999999</v>
      </c>
      <c r="F74" s="28">
        <v>13.11</v>
      </c>
    </row>
    <row r="75" spans="1:6" x14ac:dyDescent="0.2">
      <c r="A75" s="9" t="s">
        <v>4</v>
      </c>
      <c r="B75" s="10">
        <v>70</v>
      </c>
      <c r="C75" s="9">
        <v>22.34</v>
      </c>
      <c r="D75" s="9">
        <v>7.98</v>
      </c>
      <c r="E75" s="9">
        <v>21.22</v>
      </c>
      <c r="F75" s="29">
        <v>5.44</v>
      </c>
    </row>
    <row r="76" spans="1:6" x14ac:dyDescent="0.2">
      <c r="A76" s="6" t="s">
        <v>3</v>
      </c>
      <c r="B76" s="7">
        <v>64.3</v>
      </c>
      <c r="C76" s="6">
        <v>20.82</v>
      </c>
      <c r="D76" s="6">
        <v>16.260000000000002</v>
      </c>
      <c r="E76" s="6">
        <v>20.16</v>
      </c>
      <c r="F76" s="28">
        <v>1.76</v>
      </c>
    </row>
    <row r="77" spans="1:6" x14ac:dyDescent="0.2">
      <c r="A77" s="9" t="s">
        <v>2</v>
      </c>
      <c r="B77" s="10">
        <v>72.2</v>
      </c>
      <c r="C77" s="9">
        <v>18.52</v>
      </c>
      <c r="D77" s="9">
        <v>12.75</v>
      </c>
      <c r="E77" s="9">
        <v>24.39</v>
      </c>
      <c r="F77" s="29">
        <v>17.77</v>
      </c>
    </row>
    <row r="78" spans="1:6" x14ac:dyDescent="0.2">
      <c r="A78" s="6" t="s">
        <v>18</v>
      </c>
      <c r="B78" s="7">
        <v>80</v>
      </c>
      <c r="C78" s="6">
        <v>24.91</v>
      </c>
      <c r="D78" s="6">
        <v>12</v>
      </c>
      <c r="E78" s="6">
        <v>20.85</v>
      </c>
      <c r="F78" s="28">
        <v>6.83</v>
      </c>
    </row>
    <row r="79" spans="1:6" x14ac:dyDescent="0.2">
      <c r="A79" s="9" t="s">
        <v>112</v>
      </c>
      <c r="B79" s="10">
        <v>81.5</v>
      </c>
      <c r="C79" s="9">
        <v>21.89</v>
      </c>
      <c r="D79" s="9">
        <v>7.96</v>
      </c>
      <c r="E79" s="9">
        <v>17.690000000000001</v>
      </c>
      <c r="F79" s="29">
        <v>6.23</v>
      </c>
    </row>
    <row r="80" spans="1:6" x14ac:dyDescent="0.2">
      <c r="A80" s="6" t="s">
        <v>6</v>
      </c>
      <c r="B80" s="7">
        <v>68.2</v>
      </c>
      <c r="C80" s="6">
        <v>19.18</v>
      </c>
      <c r="D80" s="6">
        <v>4.97</v>
      </c>
      <c r="E80" s="6">
        <v>21.78</v>
      </c>
      <c r="F80" s="28">
        <v>15.4</v>
      </c>
    </row>
    <row r="81" spans="1:6" x14ac:dyDescent="0.2">
      <c r="A81" s="9" t="s">
        <v>99</v>
      </c>
      <c r="B81" s="10">
        <v>76.7</v>
      </c>
      <c r="C81" s="9">
        <v>21.94</v>
      </c>
      <c r="D81" s="9">
        <v>7.68</v>
      </c>
      <c r="E81" s="9">
        <v>21.73</v>
      </c>
      <c r="F81" s="29">
        <v>9.48</v>
      </c>
    </row>
    <row r="82" spans="1:6" x14ac:dyDescent="0.2">
      <c r="A82" s="6" t="s">
        <v>96</v>
      </c>
      <c r="B82" s="7">
        <v>66.7</v>
      </c>
      <c r="C82" s="6">
        <v>20.71</v>
      </c>
      <c r="D82" s="6">
        <v>8.27</v>
      </c>
      <c r="E82" s="6">
        <v>24.68</v>
      </c>
      <c r="F82" s="28">
        <v>8.57</v>
      </c>
    </row>
    <row r="83" spans="1:6" x14ac:dyDescent="0.2">
      <c r="A83" s="9" t="s">
        <v>123</v>
      </c>
      <c r="B83" s="10">
        <v>53.3</v>
      </c>
      <c r="C83" s="9">
        <v>21.47</v>
      </c>
      <c r="D83" s="9">
        <v>12.35</v>
      </c>
      <c r="E83" s="9">
        <v>23.93</v>
      </c>
      <c r="F83" s="29">
        <v>10.17</v>
      </c>
    </row>
    <row r="84" spans="1:6" x14ac:dyDescent="0.2">
      <c r="A84" s="6" t="s">
        <v>119</v>
      </c>
      <c r="B84" s="7">
        <v>64.3</v>
      </c>
      <c r="C84" s="6">
        <v>23.84</v>
      </c>
      <c r="D84" s="6">
        <v>5.86</v>
      </c>
      <c r="E84" s="6">
        <v>20.100000000000001</v>
      </c>
      <c r="F84" s="28">
        <v>6.18</v>
      </c>
    </row>
    <row r="85" spans="1:6" x14ac:dyDescent="0.2">
      <c r="A85" s="9" t="s">
        <v>48</v>
      </c>
      <c r="B85" s="10">
        <v>58.8</v>
      </c>
      <c r="C85" s="9">
        <v>19.87</v>
      </c>
      <c r="D85" s="9">
        <v>9.75</v>
      </c>
      <c r="E85" s="9">
        <v>25.1</v>
      </c>
      <c r="F85" s="29">
        <v>7.61</v>
      </c>
    </row>
    <row r="86" spans="1:6" x14ac:dyDescent="0.2">
      <c r="A86" s="6" t="s">
        <v>124</v>
      </c>
      <c r="B86" s="7">
        <v>63.6</v>
      </c>
      <c r="C86" s="6">
        <v>18.5</v>
      </c>
      <c r="D86" s="6">
        <v>1.73</v>
      </c>
      <c r="E86" s="6">
        <v>22.06</v>
      </c>
      <c r="F86" s="28">
        <v>10.68</v>
      </c>
    </row>
    <row r="87" spans="1:6" x14ac:dyDescent="0.2">
      <c r="A87" s="9" t="s">
        <v>7</v>
      </c>
      <c r="B87" s="10">
        <v>68.8</v>
      </c>
      <c r="C87" s="9">
        <v>21.93</v>
      </c>
      <c r="D87" s="9">
        <v>13.1</v>
      </c>
      <c r="E87" s="9">
        <v>25.88</v>
      </c>
      <c r="F87" s="29">
        <v>11</v>
      </c>
    </row>
    <row r="88" spans="1:6" x14ac:dyDescent="0.2">
      <c r="A88" s="6" t="s">
        <v>98</v>
      </c>
      <c r="B88" s="7">
        <v>85</v>
      </c>
      <c r="C88" s="6">
        <v>21.28</v>
      </c>
      <c r="D88" s="6">
        <v>7.87</v>
      </c>
      <c r="E88" s="6">
        <v>24.38</v>
      </c>
      <c r="F88" s="28">
        <v>13.03</v>
      </c>
    </row>
    <row r="89" spans="1:6" x14ac:dyDescent="0.2">
      <c r="A89" s="9" t="s">
        <v>15</v>
      </c>
      <c r="B89" s="10">
        <v>57.1</v>
      </c>
      <c r="C89" s="9">
        <v>19.71</v>
      </c>
      <c r="D89" s="9">
        <v>6.37</v>
      </c>
      <c r="E89" s="9">
        <v>20.52</v>
      </c>
      <c r="F89" s="29">
        <v>21</v>
      </c>
    </row>
    <row r="90" spans="1:6" x14ac:dyDescent="0.2">
      <c r="A90" s="6" t="s">
        <v>47</v>
      </c>
      <c r="B90" s="7">
        <v>70</v>
      </c>
      <c r="C90" s="6">
        <v>24.78</v>
      </c>
      <c r="D90" s="6">
        <v>11.47</v>
      </c>
      <c r="E90" s="6">
        <v>19.260000000000002</v>
      </c>
      <c r="F90" s="28">
        <v>3.79</v>
      </c>
    </row>
    <row r="91" spans="1:6" x14ac:dyDescent="0.2">
      <c r="A91" s="9" t="s">
        <v>37</v>
      </c>
      <c r="B91" s="10">
        <v>72.7</v>
      </c>
      <c r="C91" s="9">
        <v>27.53</v>
      </c>
      <c r="D91" s="9">
        <v>7.63</v>
      </c>
      <c r="E91" s="9">
        <v>19.79</v>
      </c>
      <c r="F91" s="29">
        <v>6.83</v>
      </c>
    </row>
    <row r="92" spans="1:6" x14ac:dyDescent="0.2">
      <c r="A92" s="6" t="s">
        <v>75</v>
      </c>
      <c r="B92" s="7">
        <v>72.2</v>
      </c>
      <c r="C92" s="6">
        <v>22.73</v>
      </c>
      <c r="D92" s="6">
        <v>6.9</v>
      </c>
      <c r="E92" s="6">
        <v>23.34</v>
      </c>
      <c r="F92" s="28">
        <v>13.17</v>
      </c>
    </row>
    <row r="93" spans="1:6" x14ac:dyDescent="0.2">
      <c r="A93" s="9" t="s">
        <v>27</v>
      </c>
      <c r="B93" s="10">
        <v>83.3</v>
      </c>
      <c r="C93" s="9">
        <v>29.24</v>
      </c>
      <c r="D93" s="9">
        <v>13.17</v>
      </c>
      <c r="E93" s="9">
        <v>19.73</v>
      </c>
      <c r="F93" s="29">
        <v>6</v>
      </c>
    </row>
    <row r="94" spans="1:6" x14ac:dyDescent="0.2">
      <c r="A94" s="6" t="s">
        <v>90</v>
      </c>
      <c r="B94" s="7">
        <v>68</v>
      </c>
      <c r="C94" s="6">
        <v>23.85</v>
      </c>
      <c r="D94" s="6">
        <v>11.43</v>
      </c>
      <c r="E94" s="6">
        <v>19.829999999999998</v>
      </c>
      <c r="F94" s="28">
        <v>8.36</v>
      </c>
    </row>
    <row r="95" spans="1:6" x14ac:dyDescent="0.2">
      <c r="A95" s="9" t="s">
        <v>117</v>
      </c>
      <c r="B95" s="10">
        <v>61.9</v>
      </c>
      <c r="C95" s="9">
        <v>24.02</v>
      </c>
      <c r="D95" s="9">
        <v>9.33</v>
      </c>
      <c r="E95" s="9">
        <v>22.44</v>
      </c>
      <c r="F95" s="29">
        <v>10.27</v>
      </c>
    </row>
    <row r="96" spans="1:6" x14ac:dyDescent="0.2">
      <c r="A96" s="6" t="s">
        <v>61</v>
      </c>
      <c r="B96" s="7">
        <v>88.9</v>
      </c>
      <c r="C96" s="6">
        <v>26.02</v>
      </c>
      <c r="D96" s="6">
        <v>13.17</v>
      </c>
      <c r="E96" s="6">
        <v>21.4</v>
      </c>
      <c r="F96" s="28">
        <v>9.9600000000000009</v>
      </c>
    </row>
    <row r="97" spans="1:6" x14ac:dyDescent="0.2">
      <c r="A97" s="9" t="s">
        <v>43</v>
      </c>
      <c r="B97" s="10">
        <v>63.2</v>
      </c>
      <c r="C97" s="9">
        <v>22.25</v>
      </c>
      <c r="D97" s="9">
        <v>6.08</v>
      </c>
      <c r="E97" s="9">
        <v>23.07</v>
      </c>
      <c r="F97" s="29">
        <v>6.5</v>
      </c>
    </row>
    <row r="98" spans="1:6" x14ac:dyDescent="0.2">
      <c r="A98" s="6" t="s">
        <v>28</v>
      </c>
      <c r="B98" s="7">
        <v>78.599999999999994</v>
      </c>
      <c r="C98" s="6">
        <v>24.43</v>
      </c>
      <c r="D98" s="6">
        <v>9.8000000000000007</v>
      </c>
      <c r="E98" s="6">
        <v>19.559999999999999</v>
      </c>
      <c r="F98" s="28">
        <v>6.75</v>
      </c>
    </row>
    <row r="99" spans="1:6" x14ac:dyDescent="0.2">
      <c r="A99" s="9" t="s">
        <v>14</v>
      </c>
      <c r="B99" s="10">
        <v>75</v>
      </c>
      <c r="C99" s="9">
        <v>21.19</v>
      </c>
      <c r="D99" s="9">
        <v>7.93</v>
      </c>
      <c r="E99" s="9">
        <v>20.52</v>
      </c>
      <c r="F99" s="29">
        <v>11.95</v>
      </c>
    </row>
    <row r="100" spans="1:6" x14ac:dyDescent="0.2">
      <c r="A100" s="6" t="s">
        <v>53</v>
      </c>
      <c r="B100" s="7">
        <v>78.3</v>
      </c>
      <c r="C100" s="6">
        <v>21.05</v>
      </c>
      <c r="D100" s="6">
        <v>3.53</v>
      </c>
      <c r="E100" s="6">
        <v>23.19</v>
      </c>
      <c r="F100" s="28">
        <v>5.53</v>
      </c>
    </row>
    <row r="101" spans="1:6" x14ac:dyDescent="0.2">
      <c r="A101" s="9" t="s">
        <v>74</v>
      </c>
      <c r="B101" s="10">
        <v>69.2</v>
      </c>
      <c r="C101" s="9">
        <v>19.55</v>
      </c>
      <c r="D101" s="9">
        <v>5.78</v>
      </c>
      <c r="E101" s="9">
        <v>21.97</v>
      </c>
      <c r="F101" s="29">
        <v>17.68</v>
      </c>
    </row>
    <row r="102" spans="1:6" x14ac:dyDescent="0.2">
      <c r="A102" s="6" t="s">
        <v>59</v>
      </c>
      <c r="B102" s="7">
        <v>92.9</v>
      </c>
      <c r="C102" s="6">
        <v>22.25</v>
      </c>
      <c r="D102" s="6">
        <v>14.1</v>
      </c>
      <c r="E102" s="6">
        <v>20.350000000000001</v>
      </c>
      <c r="F102" s="28">
        <v>6.25</v>
      </c>
    </row>
    <row r="103" spans="1:6" x14ac:dyDescent="0.2">
      <c r="A103" s="9" t="s">
        <v>56</v>
      </c>
      <c r="B103" s="10">
        <v>66.7</v>
      </c>
      <c r="C103" s="9">
        <v>20.73</v>
      </c>
      <c r="D103" s="9">
        <v>4.54</v>
      </c>
      <c r="E103" s="9">
        <v>24.19</v>
      </c>
      <c r="F103" s="29">
        <v>9.0399999999999991</v>
      </c>
    </row>
    <row r="104" spans="1:6" x14ac:dyDescent="0.2">
      <c r="A104" s="6" t="s">
        <v>0</v>
      </c>
      <c r="B104" s="7">
        <v>63.6</v>
      </c>
      <c r="C104" s="6">
        <v>24.33</v>
      </c>
      <c r="D104" s="6">
        <v>11.96</v>
      </c>
      <c r="E104" s="6">
        <v>18.79</v>
      </c>
      <c r="F104" s="28">
        <v>2.29</v>
      </c>
    </row>
    <row r="105" spans="1:6" x14ac:dyDescent="0.2">
      <c r="A105" s="9" t="s">
        <v>31</v>
      </c>
      <c r="B105" s="10">
        <v>90.3</v>
      </c>
      <c r="C105" s="9">
        <v>23.75</v>
      </c>
      <c r="D105" s="9">
        <v>9.09</v>
      </c>
      <c r="E105" s="9">
        <v>24.8</v>
      </c>
      <c r="F105" s="29">
        <v>7.39</v>
      </c>
    </row>
    <row r="106" spans="1:6" x14ac:dyDescent="0.2">
      <c r="A106" s="6" t="s">
        <v>62</v>
      </c>
      <c r="B106" s="7">
        <v>64.3</v>
      </c>
      <c r="C106" s="6">
        <v>22.4</v>
      </c>
      <c r="D106" s="6">
        <v>6.56</v>
      </c>
      <c r="E106" s="6">
        <v>24.28</v>
      </c>
      <c r="F106" s="28">
        <v>5.55</v>
      </c>
    </row>
    <row r="107" spans="1:6" x14ac:dyDescent="0.2">
      <c r="A107" s="9" t="s">
        <v>26</v>
      </c>
      <c r="B107" s="10">
        <v>70.599999999999994</v>
      </c>
      <c r="C107" s="9">
        <v>18.86</v>
      </c>
      <c r="D107" s="9">
        <v>13.61</v>
      </c>
      <c r="E107" s="9">
        <v>24.59</v>
      </c>
      <c r="F107" s="29">
        <v>2.06</v>
      </c>
    </row>
    <row r="108" spans="1:6" x14ac:dyDescent="0.2">
      <c r="A108" s="6" t="s">
        <v>57</v>
      </c>
      <c r="B108" s="7">
        <v>80.8</v>
      </c>
      <c r="C108" s="6">
        <v>22.42</v>
      </c>
      <c r="D108" s="6">
        <v>8.19</v>
      </c>
      <c r="E108" s="6">
        <v>20.95</v>
      </c>
      <c r="F108" s="28">
        <v>11.35</v>
      </c>
    </row>
    <row r="109" spans="1:6" x14ac:dyDescent="0.2">
      <c r="A109" s="9" t="s">
        <v>44</v>
      </c>
      <c r="B109" s="10">
        <v>61.9</v>
      </c>
      <c r="C109" s="9">
        <v>22.79</v>
      </c>
      <c r="D109" s="9">
        <v>6.14</v>
      </c>
      <c r="E109" s="9">
        <v>21.83</v>
      </c>
      <c r="F109" s="29">
        <v>9.74</v>
      </c>
    </row>
    <row r="110" spans="1:6" x14ac:dyDescent="0.2">
      <c r="A110" s="6" t="s">
        <v>128</v>
      </c>
      <c r="B110" s="7">
        <v>72.2</v>
      </c>
      <c r="C110" s="6">
        <v>21.23</v>
      </c>
      <c r="D110" s="6">
        <v>8.4600000000000009</v>
      </c>
      <c r="E110" s="6">
        <v>22.4</v>
      </c>
      <c r="F110" s="28">
        <v>12.5</v>
      </c>
    </row>
    <row r="111" spans="1:6" x14ac:dyDescent="0.2">
      <c r="A111" s="9" t="s">
        <v>92</v>
      </c>
      <c r="B111" s="10">
        <v>76.2</v>
      </c>
      <c r="C111" s="9">
        <v>22.26</v>
      </c>
      <c r="D111" s="9">
        <v>4.8099999999999996</v>
      </c>
      <c r="E111" s="9">
        <v>20.2</v>
      </c>
      <c r="F111" s="29">
        <v>9.9700000000000006</v>
      </c>
    </row>
    <row r="112" spans="1:6" x14ac:dyDescent="0.2">
      <c r="A112" s="6" t="s">
        <v>100</v>
      </c>
      <c r="B112" s="7">
        <v>89.5</v>
      </c>
      <c r="C112" s="6">
        <v>18.59</v>
      </c>
      <c r="D112" s="6">
        <v>6.3</v>
      </c>
      <c r="E112" s="6">
        <v>20.309999999999999</v>
      </c>
      <c r="F112" s="28">
        <v>9.82</v>
      </c>
    </row>
    <row r="113" spans="1:6" x14ac:dyDescent="0.2">
      <c r="A113" s="9" t="s">
        <v>64</v>
      </c>
      <c r="B113" s="10">
        <v>87</v>
      </c>
      <c r="C113" s="9">
        <v>23.67</v>
      </c>
      <c r="D113" s="9">
        <v>10.82</v>
      </c>
      <c r="E113" s="9">
        <v>20.22</v>
      </c>
      <c r="F113" s="29">
        <v>7.82</v>
      </c>
    </row>
    <row r="114" spans="1:6" x14ac:dyDescent="0.2">
      <c r="A114" s="6" t="s">
        <v>32</v>
      </c>
      <c r="B114" s="7">
        <v>63.2</v>
      </c>
      <c r="C114" s="6">
        <v>22.16</v>
      </c>
      <c r="D114" s="6">
        <v>5.33</v>
      </c>
      <c r="E114" s="6">
        <v>24.52</v>
      </c>
      <c r="F114" s="28">
        <v>8.5299999999999994</v>
      </c>
    </row>
    <row r="115" spans="1:6" x14ac:dyDescent="0.2">
      <c r="A115" s="9" t="s">
        <v>17</v>
      </c>
      <c r="B115" s="10">
        <v>85.7</v>
      </c>
      <c r="C115" s="9">
        <v>18.62</v>
      </c>
      <c r="D115" s="9">
        <v>9</v>
      </c>
      <c r="E115" s="9">
        <v>20.66</v>
      </c>
      <c r="F115" s="29">
        <v>7.72</v>
      </c>
    </row>
    <row r="116" spans="1:6" x14ac:dyDescent="0.2">
      <c r="A116" s="6" t="s">
        <v>41</v>
      </c>
      <c r="B116" s="7">
        <v>63.6</v>
      </c>
      <c r="C116" s="6">
        <v>18.54</v>
      </c>
      <c r="D116" s="6">
        <v>6.89</v>
      </c>
      <c r="E116" s="6">
        <v>27.72</v>
      </c>
      <c r="F116" s="28">
        <v>13.05</v>
      </c>
    </row>
    <row r="117" spans="1:6" x14ac:dyDescent="0.2">
      <c r="A117" s="9" t="s">
        <v>20</v>
      </c>
      <c r="B117" s="10">
        <v>86.7</v>
      </c>
      <c r="C117" s="9">
        <v>21.87</v>
      </c>
      <c r="D117" s="9">
        <v>10.36</v>
      </c>
      <c r="E117" s="9">
        <v>24.21</v>
      </c>
      <c r="F117" s="29">
        <v>8.75</v>
      </c>
    </row>
    <row r="118" spans="1:6" x14ac:dyDescent="0.2">
      <c r="A118" s="6" t="s">
        <v>80</v>
      </c>
      <c r="B118" s="7">
        <v>73.7</v>
      </c>
      <c r="C118" s="6">
        <v>22.19</v>
      </c>
      <c r="D118" s="6">
        <v>7.5</v>
      </c>
      <c r="E118" s="6">
        <v>22.34</v>
      </c>
      <c r="F118" s="28">
        <v>9.5</v>
      </c>
    </row>
    <row r="119" spans="1:6" x14ac:dyDescent="0.2">
      <c r="A119" s="9" t="s">
        <v>29</v>
      </c>
      <c r="B119" s="10">
        <v>66.7</v>
      </c>
      <c r="C119" s="9">
        <v>21.75</v>
      </c>
      <c r="D119" s="9">
        <v>7.48</v>
      </c>
      <c r="E119" s="9">
        <v>16.43</v>
      </c>
      <c r="F119" s="29">
        <v>12.38</v>
      </c>
    </row>
    <row r="120" spans="1:6" x14ac:dyDescent="0.2">
      <c r="A120" s="6" t="s">
        <v>25</v>
      </c>
      <c r="B120" s="7">
        <v>70.8</v>
      </c>
      <c r="C120" s="6">
        <v>19.27</v>
      </c>
      <c r="D120" s="6">
        <v>7.29</v>
      </c>
      <c r="E120" s="6">
        <v>26.39</v>
      </c>
      <c r="F120" s="28">
        <v>6.71</v>
      </c>
    </row>
    <row r="121" spans="1:6" x14ac:dyDescent="0.2">
      <c r="A121" s="2" t="s">
        <v>106</v>
      </c>
      <c r="B121" s="4">
        <v>76.2</v>
      </c>
      <c r="C121" s="2">
        <v>22.3</v>
      </c>
      <c r="D121" s="2">
        <v>13.35</v>
      </c>
      <c r="E121" s="2">
        <v>22.58</v>
      </c>
      <c r="F121" s="30">
        <v>5.61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O121"/>
  <sheetViews>
    <sheetView zoomScale="70" zoomScaleNormal="70" workbookViewId="0">
      <selection activeCell="E15" sqref="E15"/>
    </sheetView>
  </sheetViews>
  <sheetFormatPr baseColWidth="10" defaultColWidth="8.83203125" defaultRowHeight="15" x14ac:dyDescent="0.2"/>
  <cols>
    <col min="1" max="1" width="20.6640625" bestFit="1" customWidth="1"/>
    <col min="2" max="2" width="17.5" customWidth="1"/>
    <col min="3" max="3" width="22.33203125" customWidth="1"/>
    <col min="4" max="4" width="22.6640625" customWidth="1"/>
    <col min="5" max="5" width="31.5" customWidth="1"/>
    <col min="6" max="6" width="32" customWidth="1"/>
    <col min="8" max="8" width="6.33203125" bestFit="1" customWidth="1"/>
    <col min="9" max="9" width="16.6640625" bestFit="1" customWidth="1"/>
    <col min="10" max="10" width="13" bestFit="1" customWidth="1"/>
    <col min="11" max="11" width="17.1640625" bestFit="1" customWidth="1"/>
    <col min="12" max="12" width="17.5" bestFit="1" customWidth="1"/>
    <col min="13" max="13" width="25" bestFit="1" customWidth="1"/>
    <col min="14" max="14" width="25.5" bestFit="1" customWidth="1"/>
  </cols>
  <sheetData>
    <row r="1" spans="1:15" x14ac:dyDescent="0.2">
      <c r="A1" s="25" t="s">
        <v>129</v>
      </c>
      <c r="B1" s="26" t="s">
        <v>171</v>
      </c>
      <c r="C1" s="25" t="s">
        <v>172</v>
      </c>
      <c r="D1" s="25" t="s">
        <v>173</v>
      </c>
      <c r="E1" s="25" t="s">
        <v>174</v>
      </c>
      <c r="F1" s="27" t="s">
        <v>175</v>
      </c>
      <c r="H1" t="s">
        <v>137</v>
      </c>
      <c r="I1" t="s">
        <v>141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145</v>
      </c>
    </row>
    <row r="2" spans="1:15" x14ac:dyDescent="0.2">
      <c r="A2" s="6" t="s">
        <v>40</v>
      </c>
      <c r="B2" s="7">
        <v>82.8</v>
      </c>
      <c r="C2" s="6">
        <v>18.239999999999998</v>
      </c>
      <c r="D2" s="6">
        <v>11.8</v>
      </c>
      <c r="E2" s="6">
        <v>18.79</v>
      </c>
      <c r="F2" s="28">
        <v>10.44</v>
      </c>
      <c r="H2">
        <v>1</v>
      </c>
      <c r="I2" t="s">
        <v>108</v>
      </c>
      <c r="J2">
        <f>VLOOKUP(I2,'ST 2008'!$A$2:$F$121,2)</f>
        <v>92.3</v>
      </c>
      <c r="K2">
        <f>VLOOKUP(I2,'ST 2008'!$A$2:$F$121,3)</f>
        <v>21.45</v>
      </c>
      <c r="L2">
        <f>VLOOKUP(I2,'ST 2008'!$A$2:$F$121,4)</f>
        <v>14.1</v>
      </c>
      <c r="M2">
        <f>VLOOKUP(I2,'ST 2008'!$A$2:$F$121,5)</f>
        <v>22.42</v>
      </c>
      <c r="N2">
        <f>VLOOKUP(I2,'ST 2008'!$A$2:$F$121,6)</f>
        <v>5.57</v>
      </c>
      <c r="O2">
        <v>2008</v>
      </c>
    </row>
    <row r="3" spans="1:15" x14ac:dyDescent="0.2">
      <c r="A3" s="9" t="s">
        <v>103</v>
      </c>
      <c r="B3" s="10">
        <v>64.3</v>
      </c>
      <c r="C3" s="9">
        <v>21.71</v>
      </c>
      <c r="D3" s="9">
        <v>8.33</v>
      </c>
      <c r="E3" s="9">
        <v>22.19</v>
      </c>
      <c r="F3" s="29">
        <v>9.19</v>
      </c>
      <c r="H3">
        <v>2</v>
      </c>
      <c r="I3" t="s">
        <v>57</v>
      </c>
      <c r="J3">
        <f>VLOOKUP(I3,'ST 2008'!$A$2:$F$121,2)</f>
        <v>91.7</v>
      </c>
      <c r="K3">
        <f>VLOOKUP(I3,'ST 2008'!$A$2:$F$121,3)</f>
        <v>23</v>
      </c>
      <c r="L3">
        <f>VLOOKUP(I3,'ST 2008'!$A$2:$F$121,4)</f>
        <v>6.39</v>
      </c>
      <c r="M3">
        <f>VLOOKUP(I3,'ST 2008'!$A$2:$F$121,5)</f>
        <v>21.8</v>
      </c>
      <c r="N3">
        <f>VLOOKUP(I3,'ST 2008'!$A$2:$F$121,6)</f>
        <v>10.1</v>
      </c>
      <c r="O3">
        <v>2008</v>
      </c>
    </row>
    <row r="4" spans="1:15" x14ac:dyDescent="0.2">
      <c r="A4" s="6" t="s">
        <v>11</v>
      </c>
      <c r="B4" s="7">
        <v>66.7</v>
      </c>
      <c r="C4" s="6">
        <v>20.399999999999999</v>
      </c>
      <c r="D4" s="6">
        <v>14.31</v>
      </c>
      <c r="E4" s="6">
        <v>21.79</v>
      </c>
      <c r="F4" s="28">
        <v>8.9600000000000009</v>
      </c>
      <c r="H4">
        <v>3</v>
      </c>
      <c r="I4" t="s">
        <v>26</v>
      </c>
      <c r="J4">
        <f>VLOOKUP(I4,'ST 2008'!$A$2:$F$121,2)</f>
        <v>69.2</v>
      </c>
      <c r="K4">
        <f>VLOOKUP(I4,'ST 2008'!$A$2:$F$121,3)</f>
        <v>26.52</v>
      </c>
      <c r="L4">
        <f>VLOOKUP(I4,'ST 2008'!$A$2:$F$121,4)</f>
        <v>8</v>
      </c>
      <c r="M4">
        <f>VLOOKUP(I4,'ST 2008'!$A$2:$F$121,5)</f>
        <v>19.87</v>
      </c>
      <c r="N4">
        <f>VLOOKUP(I4,'ST 2008'!$A$2:$F$121,6)</f>
        <v>10.17</v>
      </c>
      <c r="O4">
        <v>2008</v>
      </c>
    </row>
    <row r="5" spans="1:15" x14ac:dyDescent="0.2">
      <c r="A5" s="9" t="s">
        <v>5</v>
      </c>
      <c r="B5" s="10">
        <v>87.5</v>
      </c>
      <c r="C5" s="9">
        <v>19.11</v>
      </c>
      <c r="D5" s="9">
        <v>17.79</v>
      </c>
      <c r="E5" s="9">
        <v>20.09</v>
      </c>
      <c r="F5" s="29">
        <v>10.59</v>
      </c>
      <c r="H5">
        <v>4</v>
      </c>
      <c r="I5" t="s">
        <v>61</v>
      </c>
      <c r="J5">
        <f>VLOOKUP(I5,'ST 2008'!$A$2:$F$121,2)</f>
        <v>78.599999999999994</v>
      </c>
      <c r="K5">
        <f>VLOOKUP(I5,'ST 2008'!$A$2:$F$121,3)</f>
        <v>22.63</v>
      </c>
      <c r="L5">
        <f>VLOOKUP(I5,'ST 2008'!$A$2:$F$121,4)</f>
        <v>8.15</v>
      </c>
      <c r="M5">
        <f>VLOOKUP(I5,'ST 2008'!$A$2:$F$121,5)</f>
        <v>23.16</v>
      </c>
      <c r="N5">
        <f>VLOOKUP(I5,'ST 2008'!$A$2:$F$121,6)</f>
        <v>6.73</v>
      </c>
      <c r="O5">
        <v>2008</v>
      </c>
    </row>
    <row r="6" spans="1:15" x14ac:dyDescent="0.2">
      <c r="A6" s="6" t="s">
        <v>38</v>
      </c>
      <c r="B6" s="7">
        <v>76</v>
      </c>
      <c r="C6" s="6">
        <v>20.2</v>
      </c>
      <c r="D6" s="6">
        <v>14.96</v>
      </c>
      <c r="E6" s="6">
        <v>21.58</v>
      </c>
      <c r="F6" s="28">
        <v>9.58</v>
      </c>
      <c r="H6">
        <v>5</v>
      </c>
      <c r="I6" t="s">
        <v>3</v>
      </c>
      <c r="J6">
        <f>VLOOKUP(I6,'ST 2008'!$A$2:$F$121,2)</f>
        <v>61.5</v>
      </c>
      <c r="K6">
        <f>VLOOKUP(I6,'ST 2008'!$A$2:$F$121,3)</f>
        <v>25.02</v>
      </c>
      <c r="L6">
        <f>VLOOKUP(I6,'ST 2008'!$A$2:$F$121,4)</f>
        <v>8.5</v>
      </c>
      <c r="M6">
        <f>VLOOKUP(I6,'ST 2008'!$A$2:$F$121,5)</f>
        <v>23.84</v>
      </c>
      <c r="N6">
        <f>VLOOKUP(I6,'ST 2008'!$A$2:$F$121,6)</f>
        <v>5</v>
      </c>
      <c r="O6">
        <v>2008</v>
      </c>
    </row>
    <row r="7" spans="1:15" x14ac:dyDescent="0.2">
      <c r="A7" s="9" t="s">
        <v>63</v>
      </c>
      <c r="B7" s="10">
        <v>56.3</v>
      </c>
      <c r="C7" s="9">
        <v>21.23</v>
      </c>
      <c r="D7" s="9">
        <v>5.33</v>
      </c>
      <c r="E7" s="9">
        <v>24.04</v>
      </c>
      <c r="F7" s="29">
        <v>6</v>
      </c>
      <c r="H7">
        <v>6</v>
      </c>
      <c r="I7" t="s">
        <v>11</v>
      </c>
      <c r="J7">
        <f>VLOOKUP(I7,'ST 2008'!$A$2:$F$121,2)</f>
        <v>66.7</v>
      </c>
      <c r="K7">
        <f>VLOOKUP(I7,'ST 2008'!$A$2:$F$121,3)</f>
        <v>20.399999999999999</v>
      </c>
      <c r="L7">
        <f>VLOOKUP(I7,'ST 2008'!$A$2:$F$121,4)</f>
        <v>14.31</v>
      </c>
      <c r="M7">
        <f>VLOOKUP(I7,'ST 2008'!$A$2:$F$121,5)</f>
        <v>21.79</v>
      </c>
      <c r="N7">
        <f>VLOOKUP(I7,'ST 2008'!$A$2:$F$121,6)</f>
        <v>8.9600000000000009</v>
      </c>
      <c r="O7">
        <v>2008</v>
      </c>
    </row>
    <row r="8" spans="1:15" x14ac:dyDescent="0.2">
      <c r="A8" s="6" t="s">
        <v>8</v>
      </c>
      <c r="B8" s="7">
        <v>81</v>
      </c>
      <c r="C8" s="6">
        <v>20.82</v>
      </c>
      <c r="D8" s="6">
        <v>8.57</v>
      </c>
      <c r="E8" s="6">
        <v>19.059999999999999</v>
      </c>
      <c r="F8" s="28">
        <v>6.81</v>
      </c>
      <c r="H8">
        <v>7</v>
      </c>
      <c r="I8" t="s">
        <v>27</v>
      </c>
      <c r="J8">
        <f>VLOOKUP(I8,'ST 2008'!$A$2:$F$121,2)</f>
        <v>80</v>
      </c>
      <c r="K8">
        <f>VLOOKUP(I8,'ST 2008'!$A$2:$F$121,3)</f>
        <v>25.72</v>
      </c>
      <c r="L8">
        <f>VLOOKUP(I8,'ST 2008'!$A$2:$F$121,4)</f>
        <v>10.97</v>
      </c>
      <c r="M8">
        <f>VLOOKUP(I8,'ST 2008'!$A$2:$F$121,5)</f>
        <v>19.11</v>
      </c>
      <c r="N8">
        <f>VLOOKUP(I8,'ST 2008'!$A$2:$F$121,6)</f>
        <v>7.42</v>
      </c>
      <c r="O8">
        <v>2008</v>
      </c>
    </row>
    <row r="9" spans="1:15" x14ac:dyDescent="0.2">
      <c r="A9" s="9" t="s">
        <v>42</v>
      </c>
      <c r="B9" s="10">
        <v>66.7</v>
      </c>
      <c r="C9" s="9">
        <v>19.29</v>
      </c>
      <c r="D9" s="9">
        <v>5.15</v>
      </c>
      <c r="E9" s="9">
        <v>21.74</v>
      </c>
      <c r="F9" s="29">
        <v>11.47</v>
      </c>
      <c r="H9">
        <v>8</v>
      </c>
      <c r="I9" t="s">
        <v>6</v>
      </c>
      <c r="J9">
        <f>VLOOKUP(I9,'ST 2008'!$A$2:$F$121,2)</f>
        <v>84</v>
      </c>
      <c r="K9">
        <f>VLOOKUP(I9,'ST 2008'!$A$2:$F$121,3)</f>
        <v>24.54</v>
      </c>
      <c r="L9">
        <f>VLOOKUP(I9,'ST 2008'!$A$2:$F$121,4)</f>
        <v>10.36</v>
      </c>
      <c r="M9">
        <f>VLOOKUP(I9,'ST 2008'!$A$2:$F$121,5)</f>
        <v>21.26</v>
      </c>
      <c r="N9">
        <f>VLOOKUP(I9,'ST 2008'!$A$2:$F$121,6)</f>
        <v>5.33</v>
      </c>
      <c r="O9">
        <v>2008</v>
      </c>
    </row>
    <row r="10" spans="1:15" x14ac:dyDescent="0.2">
      <c r="A10" s="6" t="s">
        <v>19</v>
      </c>
      <c r="B10" s="7">
        <v>55</v>
      </c>
      <c r="C10" s="6">
        <v>24.51</v>
      </c>
      <c r="D10" s="6">
        <v>13</v>
      </c>
      <c r="E10" s="6">
        <v>21.49</v>
      </c>
      <c r="F10" s="28">
        <v>7.04</v>
      </c>
      <c r="H10">
        <v>9</v>
      </c>
      <c r="I10" t="s">
        <v>4</v>
      </c>
      <c r="J10">
        <f>VLOOKUP(I10,'ST 2008'!$A$2:$F$121,2)</f>
        <v>81.5</v>
      </c>
      <c r="K10">
        <f>VLOOKUP(I10,'ST 2008'!$A$2:$F$121,3)</f>
        <v>19.18</v>
      </c>
      <c r="L10">
        <f>VLOOKUP(I10,'ST 2008'!$A$2:$F$121,4)</f>
        <v>13</v>
      </c>
      <c r="M10">
        <f>VLOOKUP(I10,'ST 2008'!$A$2:$F$121,5)</f>
        <v>16.920000000000002</v>
      </c>
      <c r="N10">
        <f>VLOOKUP(I10,'ST 2008'!$A$2:$F$121,6)</f>
        <v>4.13</v>
      </c>
      <c r="O10">
        <v>2008</v>
      </c>
    </row>
    <row r="11" spans="1:15" x14ac:dyDescent="0.2">
      <c r="A11" s="9" t="s">
        <v>120</v>
      </c>
      <c r="B11" s="10">
        <v>76.2</v>
      </c>
      <c r="C11" s="9">
        <v>22.85</v>
      </c>
      <c r="D11" s="9">
        <v>14.7</v>
      </c>
      <c r="E11" s="9">
        <v>19.77</v>
      </c>
      <c r="F11" s="29">
        <v>6.15</v>
      </c>
      <c r="H11">
        <v>10</v>
      </c>
      <c r="I11" t="s">
        <v>18</v>
      </c>
      <c r="J11">
        <f>VLOOKUP(I11,'ST 2008'!$A$2:$F$121,2)</f>
        <v>66.7</v>
      </c>
      <c r="K11">
        <f>VLOOKUP(I11,'ST 2008'!$A$2:$F$121,3)</f>
        <v>21.73</v>
      </c>
      <c r="L11">
        <f>VLOOKUP(I11,'ST 2008'!$A$2:$F$121,4)</f>
        <v>12.52</v>
      </c>
      <c r="M11">
        <f>VLOOKUP(I11,'ST 2008'!$A$2:$F$121,5)</f>
        <v>19.45</v>
      </c>
      <c r="N11">
        <f>VLOOKUP(I11,'ST 2008'!$A$2:$F$121,6)</f>
        <v>10.42</v>
      </c>
      <c r="O11">
        <v>2008</v>
      </c>
    </row>
    <row r="12" spans="1:15" x14ac:dyDescent="0.2">
      <c r="A12" s="6" t="s">
        <v>94</v>
      </c>
      <c r="B12" s="7">
        <v>66.7</v>
      </c>
      <c r="C12" s="6">
        <v>22.96</v>
      </c>
      <c r="D12" s="6">
        <v>2.08</v>
      </c>
      <c r="E12" s="6">
        <v>18.79</v>
      </c>
      <c r="F12" s="28">
        <v>7.71</v>
      </c>
      <c r="H12">
        <v>11</v>
      </c>
      <c r="I12" t="s">
        <v>33</v>
      </c>
      <c r="J12">
        <f>VLOOKUP(I12,'ST 2008'!$A$2:$F$121,2)</f>
        <v>65.400000000000006</v>
      </c>
      <c r="K12">
        <f>VLOOKUP(I12,'ST 2008'!$A$2:$F$121,3)</f>
        <v>21.85</v>
      </c>
      <c r="L12">
        <f>VLOOKUP(I12,'ST 2008'!$A$2:$F$121,4)</f>
        <v>12.25</v>
      </c>
      <c r="M12">
        <f>VLOOKUP(I12,'ST 2008'!$A$2:$F$121,5)</f>
        <v>19.32</v>
      </c>
      <c r="N12">
        <f>VLOOKUP(I12,'ST 2008'!$A$2:$F$121,6)</f>
        <v>5.28</v>
      </c>
      <c r="O12">
        <v>2008</v>
      </c>
    </row>
    <row r="13" spans="1:15" x14ac:dyDescent="0.2">
      <c r="A13" s="9" t="s">
        <v>33</v>
      </c>
      <c r="B13" s="10">
        <v>65.400000000000006</v>
      </c>
      <c r="C13" s="9">
        <v>21.85</v>
      </c>
      <c r="D13" s="9">
        <v>12.25</v>
      </c>
      <c r="E13" s="9">
        <v>19.32</v>
      </c>
      <c r="F13" s="29">
        <v>5.28</v>
      </c>
      <c r="H13">
        <v>12</v>
      </c>
      <c r="I13" t="s">
        <v>28</v>
      </c>
      <c r="J13">
        <f>VLOOKUP(I13,'ST 2008'!$A$2:$F$121,2)</f>
        <v>53.8</v>
      </c>
      <c r="K13">
        <f>VLOOKUP(I13,'ST 2008'!$A$2:$F$121,3)</f>
        <v>22.2</v>
      </c>
      <c r="L13">
        <f>VLOOKUP(I13,'ST 2008'!$A$2:$F$121,4)</f>
        <v>9.9</v>
      </c>
      <c r="M13">
        <f>VLOOKUP(I13,'ST 2008'!$A$2:$F$121,5)</f>
        <v>21</v>
      </c>
      <c r="N13">
        <f>VLOOKUP(I13,'ST 2008'!$A$2:$F$121,6)</f>
        <v>11.93</v>
      </c>
      <c r="O13">
        <v>2008</v>
      </c>
    </row>
    <row r="14" spans="1:15" x14ac:dyDescent="0.2">
      <c r="A14" s="6" t="s">
        <v>79</v>
      </c>
      <c r="B14" s="7">
        <v>66.7</v>
      </c>
      <c r="C14" s="6">
        <v>19.399999999999999</v>
      </c>
      <c r="D14" s="6">
        <v>7.86</v>
      </c>
      <c r="E14" s="6">
        <v>22.98</v>
      </c>
      <c r="F14" s="28">
        <v>7.03</v>
      </c>
      <c r="H14">
        <v>13</v>
      </c>
      <c r="I14" t="s">
        <v>22</v>
      </c>
      <c r="J14">
        <f>VLOOKUP(I14,'ST 2008'!$A$2:$F$121,2)</f>
        <v>65.2</v>
      </c>
      <c r="K14">
        <f>VLOOKUP(I14,'ST 2008'!$A$2:$F$121,3)</f>
        <v>21.1</v>
      </c>
      <c r="L14">
        <f>VLOOKUP(I14,'ST 2008'!$A$2:$F$121,4)</f>
        <v>16.88</v>
      </c>
      <c r="M14">
        <f>VLOOKUP(I14,'ST 2008'!$A$2:$F$121,5)</f>
        <v>21.66</v>
      </c>
      <c r="N14">
        <f>VLOOKUP(I14,'ST 2008'!$A$2:$F$121,6)</f>
        <v>7.12</v>
      </c>
      <c r="O14">
        <v>2008</v>
      </c>
    </row>
    <row r="15" spans="1:15" x14ac:dyDescent="0.2">
      <c r="A15" s="9" t="s">
        <v>87</v>
      </c>
      <c r="B15" s="10">
        <v>56.3</v>
      </c>
      <c r="C15" s="9">
        <v>20.7</v>
      </c>
      <c r="D15" s="9">
        <v>9.0500000000000007</v>
      </c>
      <c r="E15" s="9">
        <v>19.22</v>
      </c>
      <c r="F15" s="29">
        <v>5.47</v>
      </c>
      <c r="H15">
        <v>14</v>
      </c>
      <c r="I15" t="s">
        <v>34</v>
      </c>
      <c r="J15">
        <f>VLOOKUP(I15,'ST 2008'!$A$2:$F$121,2)</f>
        <v>81</v>
      </c>
      <c r="K15">
        <f>VLOOKUP(I15,'ST 2008'!$A$2:$F$121,3)</f>
        <v>22</v>
      </c>
      <c r="L15">
        <f>VLOOKUP(I15,'ST 2008'!$A$2:$F$121,4)</f>
        <v>10.56</v>
      </c>
      <c r="M15">
        <f>VLOOKUP(I15,'ST 2008'!$A$2:$F$121,5)</f>
        <v>20.21</v>
      </c>
      <c r="N15">
        <f>VLOOKUP(I15,'ST 2008'!$A$2:$F$121,6)</f>
        <v>5.93</v>
      </c>
      <c r="O15">
        <v>2008</v>
      </c>
    </row>
    <row r="16" spans="1:15" x14ac:dyDescent="0.2">
      <c r="A16" s="6" t="s">
        <v>66</v>
      </c>
      <c r="B16" s="7">
        <v>70.599999999999994</v>
      </c>
      <c r="C16" s="6">
        <v>17.77</v>
      </c>
      <c r="D16" s="6">
        <v>12.5</v>
      </c>
      <c r="E16" s="6">
        <v>22.49</v>
      </c>
      <c r="F16" s="28">
        <v>8.16</v>
      </c>
      <c r="H16">
        <v>15</v>
      </c>
      <c r="I16" t="s">
        <v>64</v>
      </c>
      <c r="J16">
        <f>VLOOKUP(I16,'ST 2008'!$A$2:$F$121,2)</f>
        <v>79.3</v>
      </c>
      <c r="K16">
        <f>VLOOKUP(I16,'ST 2008'!$A$2:$F$121,3)</f>
        <v>20.59</v>
      </c>
      <c r="L16">
        <f>VLOOKUP(I16,'ST 2008'!$A$2:$F$121,4)</f>
        <v>8.9600000000000009</v>
      </c>
      <c r="M16">
        <f>VLOOKUP(I16,'ST 2008'!$A$2:$F$121,5)</f>
        <v>19.45</v>
      </c>
      <c r="N16">
        <f>VLOOKUP(I16,'ST 2008'!$A$2:$F$121,6)</f>
        <v>12.42</v>
      </c>
      <c r="O16">
        <v>2008</v>
      </c>
    </row>
    <row r="17" spans="1:15" x14ac:dyDescent="0.2">
      <c r="A17" s="9" t="s">
        <v>122</v>
      </c>
      <c r="B17" s="10">
        <v>64.7</v>
      </c>
      <c r="C17" s="9">
        <v>24.6</v>
      </c>
      <c r="D17" s="9">
        <v>3.73</v>
      </c>
      <c r="E17" s="9">
        <v>21.79</v>
      </c>
      <c r="F17" s="29">
        <v>7.67</v>
      </c>
      <c r="H17">
        <v>16</v>
      </c>
      <c r="I17" t="s">
        <v>2</v>
      </c>
      <c r="J17">
        <f>VLOOKUP(I17,'ST 2008'!$A$2:$F$121,2)</f>
        <v>78.900000000000006</v>
      </c>
      <c r="K17">
        <f>VLOOKUP(I17,'ST 2008'!$A$2:$F$121,3)</f>
        <v>23.86</v>
      </c>
      <c r="L17">
        <f>VLOOKUP(I17,'ST 2008'!$A$2:$F$121,4)</f>
        <v>18.399999999999999</v>
      </c>
      <c r="M17">
        <f>VLOOKUP(I17,'ST 2008'!$A$2:$F$121,5)</f>
        <v>24.98</v>
      </c>
      <c r="N17">
        <f>VLOOKUP(I17,'ST 2008'!$A$2:$F$121,6)</f>
        <v>6.54</v>
      </c>
      <c r="O17">
        <v>2008</v>
      </c>
    </row>
    <row r="18" spans="1:15" x14ac:dyDescent="0.2">
      <c r="A18" s="6" t="s">
        <v>72</v>
      </c>
      <c r="B18" s="7">
        <v>71.400000000000006</v>
      </c>
      <c r="C18" s="6">
        <v>20.399999999999999</v>
      </c>
      <c r="D18" s="6">
        <v>11.79</v>
      </c>
      <c r="E18" s="6">
        <v>20.48</v>
      </c>
      <c r="F18" s="28">
        <v>12.35</v>
      </c>
      <c r="H18">
        <v>17</v>
      </c>
      <c r="I18" t="s">
        <v>110</v>
      </c>
      <c r="J18">
        <f>VLOOKUP(I18,'ST 2008'!$A$2:$F$121,2)</f>
        <v>69.599999999999994</v>
      </c>
      <c r="K18">
        <f>VLOOKUP(I18,'ST 2008'!$A$2:$F$121,3)</f>
        <v>24.19</v>
      </c>
      <c r="L18">
        <f>VLOOKUP(I18,'ST 2008'!$A$2:$F$121,4)</f>
        <v>9.51</v>
      </c>
      <c r="M18">
        <f>VLOOKUP(I18,'ST 2008'!$A$2:$F$121,5)</f>
        <v>20.21</v>
      </c>
      <c r="N18">
        <f>VLOOKUP(I18,'ST 2008'!$A$2:$F$121,6)</f>
        <v>7.06</v>
      </c>
      <c r="O18">
        <v>2008</v>
      </c>
    </row>
    <row r="19" spans="1:15" x14ac:dyDescent="0.2">
      <c r="A19" s="9" t="s">
        <v>54</v>
      </c>
      <c r="B19" s="10">
        <v>76.2</v>
      </c>
      <c r="C19" s="9">
        <v>19.8</v>
      </c>
      <c r="D19" s="9">
        <v>20.5</v>
      </c>
      <c r="E19" s="9">
        <v>21.86</v>
      </c>
      <c r="F19" s="29">
        <v>11</v>
      </c>
      <c r="H19">
        <v>18</v>
      </c>
      <c r="I19" t="s">
        <v>112</v>
      </c>
      <c r="J19">
        <f>VLOOKUP(I19,'ST 2008'!$A$2:$F$121,2)</f>
        <v>65.400000000000006</v>
      </c>
      <c r="K19">
        <f>VLOOKUP(I19,'ST 2008'!$A$2:$F$121,3)</f>
        <v>23.45</v>
      </c>
      <c r="L19">
        <f>VLOOKUP(I19,'ST 2008'!$A$2:$F$121,4)</f>
        <v>9.83</v>
      </c>
      <c r="M19">
        <f>VLOOKUP(I19,'ST 2008'!$A$2:$F$121,5)</f>
        <v>18.670000000000002</v>
      </c>
      <c r="N19">
        <f>VLOOKUP(I19,'ST 2008'!$A$2:$F$121,6)</f>
        <v>10.039999999999999</v>
      </c>
      <c r="O19">
        <v>2008</v>
      </c>
    </row>
    <row r="20" spans="1:15" x14ac:dyDescent="0.2">
      <c r="A20" s="6" t="s">
        <v>110</v>
      </c>
      <c r="B20" s="7">
        <v>69.599999999999994</v>
      </c>
      <c r="C20" s="6">
        <v>24.19</v>
      </c>
      <c r="D20" s="6">
        <v>9.51</v>
      </c>
      <c r="E20" s="6">
        <v>20.21</v>
      </c>
      <c r="F20" s="28">
        <v>7.06</v>
      </c>
      <c r="H20">
        <v>19</v>
      </c>
      <c r="I20" t="s">
        <v>10</v>
      </c>
      <c r="J20">
        <f>VLOOKUP(I20,'ST 2008'!$A$2:$F$121,2)</f>
        <v>74.099999999999994</v>
      </c>
      <c r="K20">
        <f>VLOOKUP(I20,'ST 2008'!$A$2:$F$121,3)</f>
        <v>20.41</v>
      </c>
      <c r="L20">
        <f>VLOOKUP(I20,'ST 2008'!$A$2:$F$121,4)</f>
        <v>11.11</v>
      </c>
      <c r="M20">
        <f>VLOOKUP(I20,'ST 2008'!$A$2:$F$121,5)</f>
        <v>22.93</v>
      </c>
      <c r="N20">
        <f>VLOOKUP(I20,'ST 2008'!$A$2:$F$121,6)</f>
        <v>3.18</v>
      </c>
      <c r="O20">
        <v>2008</v>
      </c>
    </row>
    <row r="21" spans="1:15" x14ac:dyDescent="0.2">
      <c r="A21" s="9" t="s">
        <v>24</v>
      </c>
      <c r="B21" s="10">
        <v>71.400000000000006</v>
      </c>
      <c r="C21" s="9">
        <v>21.88</v>
      </c>
      <c r="D21" s="9">
        <v>8.51</v>
      </c>
      <c r="E21" s="9">
        <v>20.3</v>
      </c>
      <c r="F21" s="29">
        <v>8</v>
      </c>
      <c r="H21">
        <v>20</v>
      </c>
      <c r="I21" t="s">
        <v>68</v>
      </c>
      <c r="J21">
        <f>VLOOKUP(I21,'ST 2008'!$A$2:$F$121,2)</f>
        <v>79.2</v>
      </c>
      <c r="K21">
        <f>VLOOKUP(I21,'ST 2008'!$A$2:$F$121,3)</f>
        <v>20.46</v>
      </c>
      <c r="L21">
        <f>VLOOKUP(I21,'ST 2008'!$A$2:$F$121,4)</f>
        <v>10.07</v>
      </c>
      <c r="M21">
        <f>VLOOKUP(I21,'ST 2008'!$A$2:$F$121,5)</f>
        <v>21.98</v>
      </c>
      <c r="N21">
        <f>VLOOKUP(I21,'ST 2008'!$A$2:$F$121,6)</f>
        <v>5</v>
      </c>
      <c r="O21">
        <v>2008</v>
      </c>
    </row>
    <row r="22" spans="1:15" x14ac:dyDescent="0.2">
      <c r="A22" s="6" t="s">
        <v>77</v>
      </c>
      <c r="B22" s="7">
        <v>35.299999999999997</v>
      </c>
      <c r="C22" s="6">
        <v>21.98</v>
      </c>
      <c r="D22" s="6">
        <v>9.16</v>
      </c>
      <c r="E22" s="6">
        <v>25.97</v>
      </c>
      <c r="F22" s="28">
        <v>10.52</v>
      </c>
      <c r="H22">
        <v>21</v>
      </c>
      <c r="I22" t="s">
        <v>88</v>
      </c>
      <c r="J22">
        <f>VLOOKUP(I22,'ST 2008'!$A$2:$F$121,2)</f>
        <v>83.3</v>
      </c>
      <c r="K22">
        <f>VLOOKUP(I22,'ST 2008'!$A$2:$F$121,3)</f>
        <v>24.15</v>
      </c>
      <c r="L22">
        <f>VLOOKUP(I22,'ST 2008'!$A$2:$F$121,4)</f>
        <v>8.7100000000000009</v>
      </c>
      <c r="M22">
        <f>VLOOKUP(I22,'ST 2008'!$A$2:$F$121,5)</f>
        <v>19.88</v>
      </c>
      <c r="N22">
        <f>VLOOKUP(I22,'ST 2008'!$A$2:$F$121,6)</f>
        <v>8.6300000000000008</v>
      </c>
      <c r="O22">
        <v>2008</v>
      </c>
    </row>
    <row r="23" spans="1:15" x14ac:dyDescent="0.2">
      <c r="A23" s="9" t="s">
        <v>30</v>
      </c>
      <c r="B23" s="10">
        <v>88.9</v>
      </c>
      <c r="C23" s="9">
        <v>21.26</v>
      </c>
      <c r="D23" s="9">
        <v>5.39</v>
      </c>
      <c r="E23" s="9">
        <v>25.54</v>
      </c>
      <c r="F23" s="29">
        <v>12.5</v>
      </c>
      <c r="H23">
        <v>22</v>
      </c>
      <c r="I23" t="s">
        <v>71</v>
      </c>
      <c r="J23">
        <f>VLOOKUP(I23,'ST 2008'!$A$2:$F$121,2)</f>
        <v>60</v>
      </c>
      <c r="K23">
        <f>VLOOKUP(I23,'ST 2008'!$A$2:$F$121,3)</f>
        <v>19.62</v>
      </c>
      <c r="L23">
        <f>VLOOKUP(I23,'ST 2008'!$A$2:$F$121,4)</f>
        <v>6.74</v>
      </c>
      <c r="M23">
        <f>VLOOKUP(I23,'ST 2008'!$A$2:$F$121,5)</f>
        <v>19.89</v>
      </c>
      <c r="N23">
        <f>VLOOKUP(I23,'ST 2008'!$A$2:$F$121,6)</f>
        <v>9.8000000000000007</v>
      </c>
      <c r="O23">
        <v>2008</v>
      </c>
    </row>
    <row r="24" spans="1:15" x14ac:dyDescent="0.2">
      <c r="A24" s="6" t="s">
        <v>101</v>
      </c>
      <c r="B24" s="7">
        <v>73.3</v>
      </c>
      <c r="C24" s="6">
        <v>21.2</v>
      </c>
      <c r="D24" s="6">
        <v>10.199999999999999</v>
      </c>
      <c r="E24" s="6">
        <v>23.89</v>
      </c>
      <c r="F24" s="28">
        <v>5.48</v>
      </c>
      <c r="H24">
        <v>23</v>
      </c>
      <c r="I24" t="s">
        <v>20</v>
      </c>
      <c r="J24">
        <f>VLOOKUP(I24,'ST 2008'!$A$2:$F$121,2)</f>
        <v>85</v>
      </c>
      <c r="K24">
        <f>VLOOKUP(I24,'ST 2008'!$A$2:$F$121,3)</f>
        <v>21.49</v>
      </c>
      <c r="L24">
        <f>VLOOKUP(I24,'ST 2008'!$A$2:$F$121,4)</f>
        <v>7.89</v>
      </c>
      <c r="M24">
        <f>VLOOKUP(I24,'ST 2008'!$A$2:$F$121,5)</f>
        <v>28</v>
      </c>
      <c r="N24">
        <f>VLOOKUP(I24,'ST 2008'!$A$2:$F$121,6)</f>
        <v>5.26</v>
      </c>
      <c r="O24">
        <v>2008</v>
      </c>
    </row>
    <row r="25" spans="1:15" x14ac:dyDescent="0.2">
      <c r="A25" s="9" t="s">
        <v>85</v>
      </c>
      <c r="B25" s="10">
        <v>72.2</v>
      </c>
      <c r="C25" s="9">
        <v>21.63</v>
      </c>
      <c r="D25" s="9">
        <v>5.52</v>
      </c>
      <c r="E25" s="9">
        <v>21.52</v>
      </c>
      <c r="F25" s="29">
        <v>5.74</v>
      </c>
      <c r="H25">
        <v>24</v>
      </c>
      <c r="I25" t="s">
        <v>104</v>
      </c>
      <c r="J25">
        <f>VLOOKUP(I25,'ST 2008'!$A$2:$F$121,2)</f>
        <v>78.599999999999994</v>
      </c>
      <c r="K25">
        <f>VLOOKUP(I25,'ST 2008'!$A$2:$F$121,3)</f>
        <v>19.36</v>
      </c>
      <c r="L25">
        <f>VLOOKUP(I25,'ST 2008'!$A$2:$F$121,4)</f>
        <v>9.9600000000000009</v>
      </c>
      <c r="M25">
        <f>VLOOKUP(I25,'ST 2008'!$A$2:$F$121,5)</f>
        <v>21.43</v>
      </c>
      <c r="N25">
        <f>VLOOKUP(I25,'ST 2008'!$A$2:$F$121,6)</f>
        <v>9.67</v>
      </c>
      <c r="O25">
        <v>2008</v>
      </c>
    </row>
    <row r="26" spans="1:15" x14ac:dyDescent="0.2">
      <c r="A26" s="6" t="s">
        <v>89</v>
      </c>
      <c r="B26" s="7">
        <v>62.9</v>
      </c>
      <c r="C26" s="6">
        <v>20.89</v>
      </c>
      <c r="D26" s="6">
        <v>9.24</v>
      </c>
      <c r="E26" s="6">
        <v>22.03</v>
      </c>
      <c r="F26" s="28">
        <v>7.04</v>
      </c>
      <c r="H26">
        <v>25</v>
      </c>
      <c r="I26" t="s">
        <v>122</v>
      </c>
      <c r="J26">
        <f>VLOOKUP(I26,'ST 2008'!$A$2:$F$121,2)</f>
        <v>64.7</v>
      </c>
      <c r="K26">
        <f>VLOOKUP(I26,'ST 2008'!$A$2:$F$121,3)</f>
        <v>24.6</v>
      </c>
      <c r="L26">
        <f>VLOOKUP(I26,'ST 2008'!$A$2:$F$121,4)</f>
        <v>3.73</v>
      </c>
      <c r="M26">
        <f>VLOOKUP(I26,'ST 2008'!$A$2:$F$121,5)</f>
        <v>21.79</v>
      </c>
      <c r="N26">
        <f>VLOOKUP(I26,'ST 2008'!$A$2:$F$121,6)</f>
        <v>7.67</v>
      </c>
      <c r="O26">
        <v>2008</v>
      </c>
    </row>
    <row r="27" spans="1:15" x14ac:dyDescent="0.2">
      <c r="A27" s="9" t="s">
        <v>81</v>
      </c>
      <c r="B27" s="10">
        <v>66.7</v>
      </c>
      <c r="C27" s="9">
        <v>19.05</v>
      </c>
      <c r="D27" s="9">
        <v>6.5</v>
      </c>
      <c r="E27" s="9">
        <v>22.4</v>
      </c>
      <c r="F27" s="29">
        <v>13.86</v>
      </c>
    </row>
    <row r="28" spans="1:15" x14ac:dyDescent="0.2">
      <c r="A28" s="6" t="s">
        <v>108</v>
      </c>
      <c r="B28" s="7">
        <v>92.3</v>
      </c>
      <c r="C28" s="6">
        <v>21.45</v>
      </c>
      <c r="D28" s="6">
        <v>14.1</v>
      </c>
      <c r="E28" s="6">
        <v>22.42</v>
      </c>
      <c r="F28" s="28">
        <v>5.57</v>
      </c>
    </row>
    <row r="29" spans="1:15" x14ac:dyDescent="0.2">
      <c r="A29" s="9" t="s">
        <v>9</v>
      </c>
      <c r="B29" s="10">
        <v>78.599999999999994</v>
      </c>
      <c r="C29" s="9">
        <v>19.86</v>
      </c>
      <c r="D29" s="9">
        <v>7.97</v>
      </c>
      <c r="E29" s="9">
        <v>18.14</v>
      </c>
      <c r="F29" s="29">
        <v>7.14</v>
      </c>
    </row>
    <row r="30" spans="1:15" x14ac:dyDescent="0.2">
      <c r="A30" s="6" t="s">
        <v>95</v>
      </c>
      <c r="B30" s="7">
        <v>63.2</v>
      </c>
      <c r="C30" s="6">
        <v>21.63</v>
      </c>
      <c r="D30" s="6">
        <v>12.31</v>
      </c>
      <c r="E30" s="6">
        <v>20.46</v>
      </c>
      <c r="F30" s="28">
        <v>11.87</v>
      </c>
    </row>
    <row r="31" spans="1:15" x14ac:dyDescent="0.2">
      <c r="A31" s="9" t="s">
        <v>88</v>
      </c>
      <c r="B31" s="10">
        <v>83.3</v>
      </c>
      <c r="C31" s="9">
        <v>24.15</v>
      </c>
      <c r="D31" s="9">
        <v>8.7100000000000009</v>
      </c>
      <c r="E31" s="9">
        <v>19.88</v>
      </c>
      <c r="F31" s="29">
        <v>8.6300000000000008</v>
      </c>
    </row>
    <row r="32" spans="1:15" x14ac:dyDescent="0.2">
      <c r="A32" s="6" t="s">
        <v>73</v>
      </c>
      <c r="B32" s="7">
        <v>68.2</v>
      </c>
      <c r="C32" s="6">
        <v>23.91</v>
      </c>
      <c r="D32" s="6">
        <v>14</v>
      </c>
      <c r="E32" s="6">
        <v>23.54</v>
      </c>
      <c r="F32" s="28">
        <v>14</v>
      </c>
    </row>
    <row r="33" spans="1:6" x14ac:dyDescent="0.2">
      <c r="A33" s="9" t="s">
        <v>22</v>
      </c>
      <c r="B33" s="10">
        <v>65.2</v>
      </c>
      <c r="C33" s="9">
        <v>21.1</v>
      </c>
      <c r="D33" s="9">
        <v>16.88</v>
      </c>
      <c r="E33" s="9">
        <v>21.66</v>
      </c>
      <c r="F33" s="29">
        <v>7.12</v>
      </c>
    </row>
    <row r="34" spans="1:6" x14ac:dyDescent="0.2">
      <c r="A34" s="6" t="s">
        <v>71</v>
      </c>
      <c r="B34" s="7">
        <v>60</v>
      </c>
      <c r="C34" s="6">
        <v>19.62</v>
      </c>
      <c r="D34" s="6">
        <v>6.74</v>
      </c>
      <c r="E34" s="6">
        <v>19.89</v>
      </c>
      <c r="F34" s="28">
        <v>9.8000000000000007</v>
      </c>
    </row>
    <row r="35" spans="1:6" x14ac:dyDescent="0.2">
      <c r="A35" s="9" t="s">
        <v>105</v>
      </c>
      <c r="B35" s="10">
        <v>47.6</v>
      </c>
      <c r="C35" s="9">
        <v>20.45</v>
      </c>
      <c r="D35" s="9">
        <v>2</v>
      </c>
      <c r="E35" s="9">
        <v>24.39</v>
      </c>
      <c r="F35" s="29">
        <v>9.93</v>
      </c>
    </row>
    <row r="36" spans="1:6" x14ac:dyDescent="0.2">
      <c r="A36" s="6" t="s">
        <v>67</v>
      </c>
      <c r="B36" s="7">
        <v>66.7</v>
      </c>
      <c r="C36" s="6">
        <v>20.48</v>
      </c>
      <c r="D36" s="6">
        <v>7.76</v>
      </c>
      <c r="E36" s="6">
        <v>18.96</v>
      </c>
      <c r="F36" s="28">
        <v>13.06</v>
      </c>
    </row>
    <row r="37" spans="1:6" x14ac:dyDescent="0.2">
      <c r="A37" s="9" t="s">
        <v>115</v>
      </c>
      <c r="B37" s="10">
        <v>61.5</v>
      </c>
      <c r="C37" s="9">
        <v>20.6</v>
      </c>
      <c r="D37" s="9">
        <v>6.13</v>
      </c>
      <c r="E37" s="9">
        <v>27</v>
      </c>
      <c r="F37" s="29">
        <v>14.12</v>
      </c>
    </row>
    <row r="38" spans="1:6" x14ac:dyDescent="0.2">
      <c r="A38" s="6" t="s">
        <v>125</v>
      </c>
      <c r="B38" s="7">
        <v>75</v>
      </c>
      <c r="C38" s="6">
        <v>21.04</v>
      </c>
      <c r="D38" s="6">
        <v>6.5</v>
      </c>
      <c r="E38" s="6">
        <v>23.55</v>
      </c>
      <c r="F38" s="28">
        <v>10.52</v>
      </c>
    </row>
    <row r="39" spans="1:6" x14ac:dyDescent="0.2">
      <c r="A39" s="9" t="s">
        <v>76</v>
      </c>
      <c r="B39" s="10">
        <v>58.8</v>
      </c>
      <c r="C39" s="9">
        <v>19.95</v>
      </c>
      <c r="D39" s="9">
        <v>9</v>
      </c>
      <c r="E39" s="9">
        <v>24.31</v>
      </c>
      <c r="F39" s="29">
        <v>6.3</v>
      </c>
    </row>
    <row r="40" spans="1:6" x14ac:dyDescent="0.2">
      <c r="A40" s="6" t="s">
        <v>68</v>
      </c>
      <c r="B40" s="7">
        <v>79.2</v>
      </c>
      <c r="C40" s="6">
        <v>20.46</v>
      </c>
      <c r="D40" s="6">
        <v>10.07</v>
      </c>
      <c r="E40" s="6">
        <v>21.98</v>
      </c>
      <c r="F40" s="28">
        <v>5</v>
      </c>
    </row>
    <row r="41" spans="1:6" x14ac:dyDescent="0.2">
      <c r="A41" s="9" t="s">
        <v>52</v>
      </c>
      <c r="B41" s="10">
        <v>68</v>
      </c>
      <c r="C41" s="9">
        <v>24.2</v>
      </c>
      <c r="D41" s="9">
        <v>9.25</v>
      </c>
      <c r="E41" s="9">
        <v>21</v>
      </c>
      <c r="F41" s="29">
        <v>12</v>
      </c>
    </row>
    <row r="42" spans="1:6" x14ac:dyDescent="0.2">
      <c r="A42" s="6" t="s">
        <v>118</v>
      </c>
      <c r="B42" s="7">
        <v>78.599999999999994</v>
      </c>
      <c r="C42" s="6">
        <v>17.18</v>
      </c>
      <c r="D42" s="6">
        <v>11.58</v>
      </c>
      <c r="E42" s="6">
        <v>21.42</v>
      </c>
      <c r="F42" s="28">
        <v>10.69</v>
      </c>
    </row>
    <row r="43" spans="1:6" x14ac:dyDescent="0.2">
      <c r="A43" s="9" t="s">
        <v>36</v>
      </c>
      <c r="B43" s="10">
        <v>75</v>
      </c>
      <c r="C43" s="9">
        <v>23.4</v>
      </c>
      <c r="D43" s="9">
        <v>11.57</v>
      </c>
      <c r="E43" s="9">
        <v>17.760000000000002</v>
      </c>
      <c r="F43" s="29">
        <v>8.91</v>
      </c>
    </row>
    <row r="44" spans="1:6" x14ac:dyDescent="0.2">
      <c r="A44" s="6" t="s">
        <v>127</v>
      </c>
      <c r="B44" s="7">
        <v>57.1</v>
      </c>
      <c r="C44" s="6">
        <v>18.059999999999999</v>
      </c>
      <c r="D44" s="6">
        <v>4.09</v>
      </c>
      <c r="E44" s="6">
        <v>22.11</v>
      </c>
      <c r="F44" s="28">
        <v>8.33</v>
      </c>
    </row>
    <row r="45" spans="1:6" x14ac:dyDescent="0.2">
      <c r="A45" s="9" t="s">
        <v>86</v>
      </c>
      <c r="B45" s="10">
        <v>56</v>
      </c>
      <c r="C45" s="9">
        <v>26.39</v>
      </c>
      <c r="D45" s="9">
        <v>9.02</v>
      </c>
      <c r="E45" s="9">
        <v>20.86</v>
      </c>
      <c r="F45" s="29">
        <v>9.73</v>
      </c>
    </row>
    <row r="46" spans="1:6" x14ac:dyDescent="0.2">
      <c r="A46" s="6" t="s">
        <v>65</v>
      </c>
      <c r="B46" s="7">
        <v>50</v>
      </c>
      <c r="C46" s="6">
        <v>23.42</v>
      </c>
      <c r="D46" s="6">
        <v>12.97</v>
      </c>
      <c r="E46" s="6">
        <v>18.09</v>
      </c>
      <c r="F46" s="28">
        <v>6</v>
      </c>
    </row>
    <row r="47" spans="1:6" x14ac:dyDescent="0.2">
      <c r="A47" s="9" t="s">
        <v>58</v>
      </c>
      <c r="B47" s="10">
        <v>70</v>
      </c>
      <c r="C47" s="9">
        <v>20.16</v>
      </c>
      <c r="D47" s="9">
        <v>11.17</v>
      </c>
      <c r="E47" s="9">
        <v>18.940000000000001</v>
      </c>
      <c r="F47" s="29">
        <v>4.3499999999999996</v>
      </c>
    </row>
    <row r="48" spans="1:6" x14ac:dyDescent="0.2">
      <c r="A48" s="6" t="s">
        <v>21</v>
      </c>
      <c r="B48" s="7">
        <v>47.1</v>
      </c>
      <c r="C48" s="6">
        <v>20.04</v>
      </c>
      <c r="D48" s="6">
        <v>6.53</v>
      </c>
      <c r="E48" s="6">
        <v>19.75</v>
      </c>
      <c r="F48" s="28">
        <v>11</v>
      </c>
    </row>
    <row r="49" spans="1:6" x14ac:dyDescent="0.2">
      <c r="A49" s="9" t="s">
        <v>12</v>
      </c>
      <c r="B49" s="10">
        <v>45.5</v>
      </c>
      <c r="C49" s="9">
        <v>18.75</v>
      </c>
      <c r="D49" s="9">
        <v>8.8800000000000008</v>
      </c>
      <c r="E49" s="9">
        <v>20.39</v>
      </c>
      <c r="F49" s="29">
        <v>8.1300000000000008</v>
      </c>
    </row>
    <row r="50" spans="1:6" x14ac:dyDescent="0.2">
      <c r="A50" s="6" t="s">
        <v>70</v>
      </c>
      <c r="B50" s="7">
        <v>78.3</v>
      </c>
      <c r="C50" s="6">
        <v>19.5</v>
      </c>
      <c r="D50" s="6">
        <v>12.26</v>
      </c>
      <c r="E50" s="6">
        <v>17.63</v>
      </c>
      <c r="F50" s="28">
        <v>8.4700000000000006</v>
      </c>
    </row>
    <row r="51" spans="1:6" x14ac:dyDescent="0.2">
      <c r="A51" s="9" t="s">
        <v>78</v>
      </c>
      <c r="B51" s="10">
        <v>62.5</v>
      </c>
      <c r="C51" s="9">
        <v>20.91</v>
      </c>
      <c r="D51" s="9">
        <v>7.92</v>
      </c>
      <c r="E51" s="9">
        <v>19.600000000000001</v>
      </c>
      <c r="F51" s="29">
        <v>5.25</v>
      </c>
    </row>
    <row r="52" spans="1:6" x14ac:dyDescent="0.2">
      <c r="A52" s="6" t="s">
        <v>97</v>
      </c>
      <c r="B52" s="7">
        <v>62.5</v>
      </c>
      <c r="C52" s="6">
        <v>22.44</v>
      </c>
      <c r="D52" s="6">
        <v>7</v>
      </c>
      <c r="E52" s="6">
        <v>22.45</v>
      </c>
      <c r="F52" s="28">
        <v>3.95</v>
      </c>
    </row>
    <row r="53" spans="1:6" x14ac:dyDescent="0.2">
      <c r="A53" s="9" t="s">
        <v>1</v>
      </c>
      <c r="B53" s="10">
        <v>73.7</v>
      </c>
      <c r="C53" s="9">
        <v>18.82</v>
      </c>
      <c r="D53" s="9">
        <v>7.62</v>
      </c>
      <c r="E53" s="9">
        <v>20.010000000000002</v>
      </c>
      <c r="F53" s="29">
        <v>5.68</v>
      </c>
    </row>
    <row r="54" spans="1:6" x14ac:dyDescent="0.2">
      <c r="A54" s="6" t="s">
        <v>39</v>
      </c>
      <c r="B54" s="7">
        <v>90</v>
      </c>
      <c r="C54" s="6">
        <v>20.170000000000002</v>
      </c>
      <c r="D54" s="6">
        <v>11.39</v>
      </c>
      <c r="E54" s="6">
        <v>16.93</v>
      </c>
      <c r="F54" s="28">
        <v>9.18</v>
      </c>
    </row>
    <row r="55" spans="1:6" x14ac:dyDescent="0.2">
      <c r="A55" s="9" t="s">
        <v>93</v>
      </c>
      <c r="B55" s="10">
        <v>87</v>
      </c>
      <c r="C55" s="9">
        <v>21.11</v>
      </c>
      <c r="D55" s="9">
        <v>11.14</v>
      </c>
      <c r="E55" s="9">
        <v>20.53</v>
      </c>
      <c r="F55" s="29">
        <v>13.12</v>
      </c>
    </row>
    <row r="56" spans="1:6" x14ac:dyDescent="0.2">
      <c r="A56" s="6" t="s">
        <v>84</v>
      </c>
      <c r="B56" s="7">
        <v>66.7</v>
      </c>
      <c r="C56" s="6">
        <v>21.44</v>
      </c>
      <c r="D56" s="6">
        <v>8.6199999999999992</v>
      </c>
      <c r="E56" s="6">
        <v>20.46</v>
      </c>
      <c r="F56" s="28">
        <v>7.86</v>
      </c>
    </row>
    <row r="57" spans="1:6" x14ac:dyDescent="0.2">
      <c r="A57" s="9" t="s">
        <v>104</v>
      </c>
      <c r="B57" s="10">
        <v>78.599999999999994</v>
      </c>
      <c r="C57" s="9">
        <v>19.36</v>
      </c>
      <c r="D57" s="9">
        <v>9.9600000000000009</v>
      </c>
      <c r="E57" s="9">
        <v>21.43</v>
      </c>
      <c r="F57" s="29">
        <v>9.67</v>
      </c>
    </row>
    <row r="58" spans="1:6" x14ac:dyDescent="0.2">
      <c r="A58" s="6" t="s">
        <v>91</v>
      </c>
      <c r="B58" s="7">
        <v>71.400000000000006</v>
      </c>
      <c r="C58" s="6">
        <v>19.27</v>
      </c>
      <c r="D58" s="6">
        <v>6.23</v>
      </c>
      <c r="E58" s="6">
        <v>21.4</v>
      </c>
      <c r="F58" s="28">
        <v>10.11</v>
      </c>
    </row>
    <row r="59" spans="1:6" x14ac:dyDescent="0.2">
      <c r="A59" s="9" t="s">
        <v>107</v>
      </c>
      <c r="B59" s="10">
        <v>75</v>
      </c>
      <c r="C59" s="9">
        <v>23.59</v>
      </c>
      <c r="D59" s="9">
        <v>9.94</v>
      </c>
      <c r="E59" s="9">
        <v>18.54</v>
      </c>
      <c r="F59" s="29">
        <v>8.44</v>
      </c>
    </row>
    <row r="60" spans="1:6" x14ac:dyDescent="0.2">
      <c r="A60" s="6" t="s">
        <v>34</v>
      </c>
      <c r="B60" s="7">
        <v>81</v>
      </c>
      <c r="C60" s="6">
        <v>22</v>
      </c>
      <c r="D60" s="6">
        <v>10.56</v>
      </c>
      <c r="E60" s="6">
        <v>20.21</v>
      </c>
      <c r="F60" s="28">
        <v>5.93</v>
      </c>
    </row>
    <row r="61" spans="1:6" x14ac:dyDescent="0.2">
      <c r="A61" s="9" t="s">
        <v>35</v>
      </c>
      <c r="B61" s="10">
        <v>53.8</v>
      </c>
      <c r="C61" s="9">
        <v>19.600000000000001</v>
      </c>
      <c r="D61" s="9">
        <v>5.41</v>
      </c>
      <c r="E61" s="9">
        <v>18.18</v>
      </c>
      <c r="F61" s="29">
        <v>11.65</v>
      </c>
    </row>
    <row r="62" spans="1:6" x14ac:dyDescent="0.2">
      <c r="A62" s="6" t="s">
        <v>10</v>
      </c>
      <c r="B62" s="7">
        <v>74.099999999999994</v>
      </c>
      <c r="C62" s="6">
        <v>20.41</v>
      </c>
      <c r="D62" s="6">
        <v>11.11</v>
      </c>
      <c r="E62" s="6">
        <v>22.93</v>
      </c>
      <c r="F62" s="28">
        <v>3.18</v>
      </c>
    </row>
    <row r="63" spans="1:6" x14ac:dyDescent="0.2">
      <c r="A63" s="9" t="s">
        <v>49</v>
      </c>
      <c r="B63" s="10">
        <v>86.4</v>
      </c>
      <c r="C63" s="9">
        <v>19.239999999999998</v>
      </c>
      <c r="D63" s="9">
        <v>10.5</v>
      </c>
      <c r="E63" s="9">
        <v>21.88</v>
      </c>
      <c r="F63" s="29">
        <v>7</v>
      </c>
    </row>
    <row r="64" spans="1:6" x14ac:dyDescent="0.2">
      <c r="A64" s="6" t="s">
        <v>83</v>
      </c>
      <c r="B64" s="7">
        <v>85.7</v>
      </c>
      <c r="C64" s="6">
        <v>21.84</v>
      </c>
      <c r="D64" s="6">
        <v>12.13</v>
      </c>
      <c r="E64" s="6">
        <v>23.93</v>
      </c>
      <c r="F64" s="28">
        <v>9.4499999999999993</v>
      </c>
    </row>
    <row r="65" spans="1:6" x14ac:dyDescent="0.2">
      <c r="A65" s="9" t="s">
        <v>69</v>
      </c>
      <c r="B65" s="10">
        <v>82.4</v>
      </c>
      <c r="C65" s="9">
        <v>19.37</v>
      </c>
      <c r="D65" s="9">
        <v>6.27</v>
      </c>
      <c r="E65" s="9">
        <v>26.06</v>
      </c>
      <c r="F65" s="29">
        <v>9.16</v>
      </c>
    </row>
    <row r="66" spans="1:6" x14ac:dyDescent="0.2">
      <c r="A66" s="6" t="s">
        <v>111</v>
      </c>
      <c r="B66" s="7">
        <v>75</v>
      </c>
      <c r="C66" s="6">
        <v>24.53</v>
      </c>
      <c r="D66" s="6">
        <v>15.41</v>
      </c>
      <c r="E66" s="6">
        <v>19.12</v>
      </c>
      <c r="F66" s="28">
        <v>6.67</v>
      </c>
    </row>
    <row r="67" spans="1:6" x14ac:dyDescent="0.2">
      <c r="A67" s="9" t="s">
        <v>50</v>
      </c>
      <c r="B67" s="10">
        <v>63.6</v>
      </c>
      <c r="C67" s="9">
        <v>22.19</v>
      </c>
      <c r="D67" s="9">
        <v>12.79</v>
      </c>
      <c r="E67" s="9">
        <v>20.53</v>
      </c>
      <c r="F67" s="29">
        <v>12.56</v>
      </c>
    </row>
    <row r="68" spans="1:6" x14ac:dyDescent="0.2">
      <c r="A68" s="6" t="s">
        <v>82</v>
      </c>
      <c r="B68" s="7">
        <v>66.7</v>
      </c>
      <c r="C68" s="6">
        <v>22.43</v>
      </c>
      <c r="D68" s="6">
        <v>10.91</v>
      </c>
      <c r="E68" s="6">
        <v>18.190000000000001</v>
      </c>
      <c r="F68" s="28">
        <v>8.83</v>
      </c>
    </row>
    <row r="69" spans="1:6" x14ac:dyDescent="0.2">
      <c r="A69" s="9" t="s">
        <v>46</v>
      </c>
      <c r="B69" s="10">
        <v>84.2</v>
      </c>
      <c r="C69" s="9">
        <v>22.22</v>
      </c>
      <c r="D69" s="9">
        <v>8.3000000000000007</v>
      </c>
      <c r="E69" s="9">
        <v>22.12</v>
      </c>
      <c r="F69" s="29">
        <v>8.43</v>
      </c>
    </row>
    <row r="70" spans="1:6" x14ac:dyDescent="0.2">
      <c r="A70" s="6" t="s">
        <v>16</v>
      </c>
      <c r="B70" s="7">
        <v>70.599999999999994</v>
      </c>
      <c r="C70" s="6">
        <v>18.54</v>
      </c>
      <c r="D70" s="6">
        <v>4.5999999999999996</v>
      </c>
      <c r="E70" s="6">
        <v>30.97</v>
      </c>
      <c r="F70" s="28">
        <v>13.07</v>
      </c>
    </row>
    <row r="71" spans="1:6" x14ac:dyDescent="0.2">
      <c r="A71" s="9" t="s">
        <v>51</v>
      </c>
      <c r="B71" s="10">
        <v>75</v>
      </c>
      <c r="C71" s="9">
        <v>21.91</v>
      </c>
      <c r="D71" s="9">
        <v>6.69</v>
      </c>
      <c r="E71" s="9">
        <v>23.04</v>
      </c>
      <c r="F71" s="29">
        <v>10.71</v>
      </c>
    </row>
    <row r="72" spans="1:6" x14ac:dyDescent="0.2">
      <c r="A72" s="6" t="s">
        <v>55</v>
      </c>
      <c r="B72" s="7">
        <v>80</v>
      </c>
      <c r="C72" s="6">
        <v>19.600000000000001</v>
      </c>
      <c r="D72" s="6">
        <v>8.3000000000000007</v>
      </c>
      <c r="E72" s="6">
        <v>18.41</v>
      </c>
      <c r="F72" s="28">
        <v>9.6</v>
      </c>
    </row>
    <row r="73" spans="1:6" x14ac:dyDescent="0.2">
      <c r="A73" s="9" t="s">
        <v>23</v>
      </c>
      <c r="B73" s="10">
        <v>58.3</v>
      </c>
      <c r="C73" s="9">
        <v>21.56</v>
      </c>
      <c r="D73" s="9">
        <v>8.92</v>
      </c>
      <c r="E73" s="9">
        <v>16.47</v>
      </c>
      <c r="F73" s="29">
        <v>6.03</v>
      </c>
    </row>
    <row r="74" spans="1:6" x14ac:dyDescent="0.2">
      <c r="A74" s="6" t="s">
        <v>13</v>
      </c>
      <c r="B74" s="7">
        <v>68.400000000000006</v>
      </c>
      <c r="C74" s="6">
        <v>23.6</v>
      </c>
      <c r="D74" s="6">
        <v>11.09</v>
      </c>
      <c r="E74" s="6">
        <v>17.3</v>
      </c>
      <c r="F74" s="28">
        <v>14.7</v>
      </c>
    </row>
    <row r="75" spans="1:6" x14ac:dyDescent="0.2">
      <c r="A75" s="9" t="s">
        <v>4</v>
      </c>
      <c r="B75" s="10">
        <v>81.5</v>
      </c>
      <c r="C75" s="9">
        <v>19.18</v>
      </c>
      <c r="D75" s="9">
        <v>13</v>
      </c>
      <c r="E75" s="9">
        <v>16.920000000000002</v>
      </c>
      <c r="F75" s="29">
        <v>4.13</v>
      </c>
    </row>
    <row r="76" spans="1:6" x14ac:dyDescent="0.2">
      <c r="A76" s="6" t="s">
        <v>3</v>
      </c>
      <c r="B76" s="7">
        <v>61.5</v>
      </c>
      <c r="C76" s="6">
        <v>25.02</v>
      </c>
      <c r="D76" s="6">
        <v>8.5</v>
      </c>
      <c r="E76" s="6">
        <v>23.84</v>
      </c>
      <c r="F76" s="28">
        <v>5</v>
      </c>
    </row>
    <row r="77" spans="1:6" x14ac:dyDescent="0.2">
      <c r="A77" s="9" t="s">
        <v>2</v>
      </c>
      <c r="B77" s="10">
        <v>78.900000000000006</v>
      </c>
      <c r="C77" s="9">
        <v>23.86</v>
      </c>
      <c r="D77" s="9">
        <v>18.399999999999999</v>
      </c>
      <c r="E77" s="9">
        <v>24.98</v>
      </c>
      <c r="F77" s="29">
        <v>6.54</v>
      </c>
    </row>
    <row r="78" spans="1:6" x14ac:dyDescent="0.2">
      <c r="A78" s="6" t="s">
        <v>18</v>
      </c>
      <c r="B78" s="7">
        <v>66.7</v>
      </c>
      <c r="C78" s="6">
        <v>21.73</v>
      </c>
      <c r="D78" s="6">
        <v>12.52</v>
      </c>
      <c r="E78" s="6">
        <v>19.45</v>
      </c>
      <c r="F78" s="28">
        <v>10.42</v>
      </c>
    </row>
    <row r="79" spans="1:6" x14ac:dyDescent="0.2">
      <c r="A79" s="9" t="s">
        <v>112</v>
      </c>
      <c r="B79" s="10">
        <v>65.400000000000006</v>
      </c>
      <c r="C79" s="9">
        <v>23.45</v>
      </c>
      <c r="D79" s="9">
        <v>9.83</v>
      </c>
      <c r="E79" s="9">
        <v>18.670000000000002</v>
      </c>
      <c r="F79" s="29">
        <v>10.039999999999999</v>
      </c>
    </row>
    <row r="80" spans="1:6" x14ac:dyDescent="0.2">
      <c r="A80" s="6" t="s">
        <v>6</v>
      </c>
      <c r="B80" s="7">
        <v>84</v>
      </c>
      <c r="C80" s="6">
        <v>24.54</v>
      </c>
      <c r="D80" s="6">
        <v>10.36</v>
      </c>
      <c r="E80" s="6">
        <v>21.26</v>
      </c>
      <c r="F80" s="28">
        <v>5.33</v>
      </c>
    </row>
    <row r="81" spans="1:6" x14ac:dyDescent="0.2">
      <c r="A81" s="9" t="s">
        <v>99</v>
      </c>
      <c r="B81" s="10">
        <v>83.3</v>
      </c>
      <c r="C81" s="9">
        <v>20.3</v>
      </c>
      <c r="D81" s="9">
        <v>9.2200000000000006</v>
      </c>
      <c r="E81" s="9">
        <v>18.66</v>
      </c>
      <c r="F81" s="29">
        <v>5.14</v>
      </c>
    </row>
    <row r="82" spans="1:6" x14ac:dyDescent="0.2">
      <c r="A82" s="6" t="s">
        <v>96</v>
      </c>
      <c r="B82" s="7">
        <v>61.9</v>
      </c>
      <c r="C82" s="6">
        <v>23.17</v>
      </c>
      <c r="D82" s="6">
        <v>7.73</v>
      </c>
      <c r="E82" s="6">
        <v>19.54</v>
      </c>
      <c r="F82" s="28">
        <v>16.670000000000002</v>
      </c>
    </row>
    <row r="83" spans="1:6" x14ac:dyDescent="0.2">
      <c r="A83" s="9" t="s">
        <v>123</v>
      </c>
      <c r="B83" s="10">
        <v>60</v>
      </c>
      <c r="C83" s="9">
        <v>20.38</v>
      </c>
      <c r="D83" s="9">
        <v>6.74</v>
      </c>
      <c r="E83" s="9">
        <v>18.91</v>
      </c>
      <c r="F83" s="29">
        <v>9.58</v>
      </c>
    </row>
    <row r="84" spans="1:6" x14ac:dyDescent="0.2">
      <c r="A84" s="6" t="s">
        <v>119</v>
      </c>
      <c r="B84" s="7">
        <v>70.599999999999994</v>
      </c>
      <c r="C84" s="6">
        <v>21.72</v>
      </c>
      <c r="D84" s="6">
        <v>13.25</v>
      </c>
      <c r="E84" s="6">
        <v>18.7</v>
      </c>
      <c r="F84" s="28">
        <v>8.39</v>
      </c>
    </row>
    <row r="85" spans="1:6" x14ac:dyDescent="0.2">
      <c r="A85" s="9" t="s">
        <v>48</v>
      </c>
      <c r="B85" s="10">
        <v>66.7</v>
      </c>
      <c r="C85" s="9">
        <v>20.49</v>
      </c>
      <c r="D85" s="9">
        <v>4.5999999999999996</v>
      </c>
      <c r="E85" s="9">
        <v>19.670000000000002</v>
      </c>
      <c r="F85" s="29">
        <v>12</v>
      </c>
    </row>
    <row r="86" spans="1:6" x14ac:dyDescent="0.2">
      <c r="A86" s="6" t="s">
        <v>124</v>
      </c>
      <c r="B86" s="7">
        <v>56.5</v>
      </c>
      <c r="C86" s="6">
        <v>23.76</v>
      </c>
      <c r="D86" s="6">
        <v>6.66</v>
      </c>
      <c r="E86" s="6">
        <v>19.07</v>
      </c>
      <c r="F86" s="28">
        <v>6.27</v>
      </c>
    </row>
    <row r="87" spans="1:6" x14ac:dyDescent="0.2">
      <c r="A87" s="9" t="s">
        <v>7</v>
      </c>
      <c r="B87" s="10">
        <v>73.3</v>
      </c>
      <c r="C87" s="9">
        <v>20.170000000000002</v>
      </c>
      <c r="D87" s="9">
        <v>6.31</v>
      </c>
      <c r="E87" s="9">
        <v>20.53</v>
      </c>
      <c r="F87" s="29">
        <v>10.65</v>
      </c>
    </row>
    <row r="88" spans="1:6" x14ac:dyDescent="0.2">
      <c r="A88" s="6" t="s">
        <v>98</v>
      </c>
      <c r="B88" s="7">
        <v>66.7</v>
      </c>
      <c r="C88" s="6">
        <v>22.94</v>
      </c>
      <c r="D88" s="6">
        <v>6.05</v>
      </c>
      <c r="E88" s="6">
        <v>21.16</v>
      </c>
      <c r="F88" s="28">
        <v>8.2200000000000006</v>
      </c>
    </row>
    <row r="89" spans="1:6" x14ac:dyDescent="0.2">
      <c r="A89" s="9" t="s">
        <v>15</v>
      </c>
      <c r="B89" s="10">
        <v>64</v>
      </c>
      <c r="C89" s="9">
        <v>22.98</v>
      </c>
      <c r="D89" s="9">
        <v>9.5</v>
      </c>
      <c r="E89" s="9">
        <v>22.67</v>
      </c>
      <c r="F89" s="29">
        <v>10.9</v>
      </c>
    </row>
    <row r="90" spans="1:6" x14ac:dyDescent="0.2">
      <c r="A90" s="6" t="s">
        <v>47</v>
      </c>
      <c r="B90" s="7">
        <v>59.1</v>
      </c>
      <c r="C90" s="6">
        <v>19.87</v>
      </c>
      <c r="D90" s="6">
        <v>7.38</v>
      </c>
      <c r="E90" s="6">
        <v>19.63</v>
      </c>
      <c r="F90" s="28">
        <v>14.95</v>
      </c>
    </row>
    <row r="91" spans="1:6" x14ac:dyDescent="0.2">
      <c r="A91" s="9" t="s">
        <v>37</v>
      </c>
      <c r="B91" s="10">
        <v>82.4</v>
      </c>
      <c r="C91" s="9">
        <v>22.35</v>
      </c>
      <c r="D91" s="9">
        <v>10.57</v>
      </c>
      <c r="E91" s="9">
        <v>21.02</v>
      </c>
      <c r="F91" s="29">
        <v>5.5</v>
      </c>
    </row>
    <row r="92" spans="1:6" x14ac:dyDescent="0.2">
      <c r="A92" s="6" t="s">
        <v>75</v>
      </c>
      <c r="B92" s="7">
        <v>82.4</v>
      </c>
      <c r="C92" s="6">
        <v>22.04</v>
      </c>
      <c r="D92" s="6">
        <v>4.45</v>
      </c>
      <c r="E92" s="6">
        <v>24.91</v>
      </c>
      <c r="F92" s="28">
        <v>10.58</v>
      </c>
    </row>
    <row r="93" spans="1:6" x14ac:dyDescent="0.2">
      <c r="A93" s="9" t="s">
        <v>27</v>
      </c>
      <c r="B93" s="10">
        <v>80</v>
      </c>
      <c r="C93" s="9">
        <v>25.72</v>
      </c>
      <c r="D93" s="9">
        <v>10.97</v>
      </c>
      <c r="E93" s="9">
        <v>19.11</v>
      </c>
      <c r="F93" s="29">
        <v>7.42</v>
      </c>
    </row>
    <row r="94" spans="1:6" x14ac:dyDescent="0.2">
      <c r="A94" s="6" t="s">
        <v>90</v>
      </c>
      <c r="B94" s="7">
        <v>50</v>
      </c>
      <c r="C94" s="6">
        <v>26.6</v>
      </c>
      <c r="D94" s="6">
        <v>10.87</v>
      </c>
      <c r="E94" s="6">
        <v>18.809999999999999</v>
      </c>
      <c r="F94" s="28">
        <v>11.15</v>
      </c>
    </row>
    <row r="95" spans="1:6" x14ac:dyDescent="0.2">
      <c r="A95" s="9" t="s">
        <v>117</v>
      </c>
      <c r="B95" s="10">
        <v>52.6</v>
      </c>
      <c r="C95" s="9">
        <v>23.57</v>
      </c>
      <c r="D95" s="9">
        <v>7.57</v>
      </c>
      <c r="E95" s="9">
        <v>21.03</v>
      </c>
      <c r="F95" s="29">
        <v>12.55</v>
      </c>
    </row>
    <row r="96" spans="1:6" x14ac:dyDescent="0.2">
      <c r="A96" s="6" t="s">
        <v>61</v>
      </c>
      <c r="B96" s="7">
        <v>78.599999999999994</v>
      </c>
      <c r="C96" s="6">
        <v>22.63</v>
      </c>
      <c r="D96" s="6">
        <v>8.15</v>
      </c>
      <c r="E96" s="6">
        <v>23.16</v>
      </c>
      <c r="F96" s="28">
        <v>6.73</v>
      </c>
    </row>
    <row r="97" spans="1:6" x14ac:dyDescent="0.2">
      <c r="A97" s="9" t="s">
        <v>43</v>
      </c>
      <c r="B97" s="10">
        <v>63.6</v>
      </c>
      <c r="C97" s="9">
        <v>21.56</v>
      </c>
      <c r="D97" s="9">
        <v>7.31</v>
      </c>
      <c r="E97" s="9">
        <v>20.65</v>
      </c>
      <c r="F97" s="29">
        <v>14.04</v>
      </c>
    </row>
    <row r="98" spans="1:6" x14ac:dyDescent="0.2">
      <c r="A98" s="6" t="s">
        <v>28</v>
      </c>
      <c r="B98" s="7">
        <v>53.8</v>
      </c>
      <c r="C98" s="6">
        <v>22.2</v>
      </c>
      <c r="D98" s="6">
        <v>9.9</v>
      </c>
      <c r="E98" s="6">
        <v>21</v>
      </c>
      <c r="F98" s="28">
        <v>11.93</v>
      </c>
    </row>
    <row r="99" spans="1:6" x14ac:dyDescent="0.2">
      <c r="A99" s="9" t="s">
        <v>14</v>
      </c>
      <c r="B99" s="10">
        <v>76.2</v>
      </c>
      <c r="C99" s="9">
        <v>20.420000000000002</v>
      </c>
      <c r="D99" s="9">
        <v>6.17</v>
      </c>
      <c r="E99" s="9">
        <v>25.37</v>
      </c>
      <c r="F99" s="29">
        <v>5.67</v>
      </c>
    </row>
    <row r="100" spans="1:6" x14ac:dyDescent="0.2">
      <c r="A100" s="6" t="s">
        <v>53</v>
      </c>
      <c r="B100" s="7">
        <v>69</v>
      </c>
      <c r="C100" s="6">
        <v>21.81</v>
      </c>
      <c r="D100" s="6">
        <v>11.23</v>
      </c>
      <c r="E100" s="6">
        <v>17.899999999999999</v>
      </c>
      <c r="F100" s="28">
        <v>2.5299999999999998</v>
      </c>
    </row>
    <row r="101" spans="1:6" x14ac:dyDescent="0.2">
      <c r="A101" s="9" t="s">
        <v>74</v>
      </c>
      <c r="B101" s="10">
        <v>45</v>
      </c>
      <c r="C101" s="9">
        <v>20.6</v>
      </c>
      <c r="D101" s="9">
        <v>7.31</v>
      </c>
      <c r="E101" s="9">
        <v>21.95</v>
      </c>
      <c r="F101" s="29">
        <v>12.34</v>
      </c>
    </row>
    <row r="102" spans="1:6" x14ac:dyDescent="0.2">
      <c r="A102" s="6" t="s">
        <v>59</v>
      </c>
      <c r="B102" s="7">
        <v>73.3</v>
      </c>
      <c r="C102" s="6">
        <v>24.64</v>
      </c>
      <c r="D102" s="6">
        <v>6.97</v>
      </c>
      <c r="E102" s="6">
        <v>20.5</v>
      </c>
      <c r="F102" s="28">
        <v>10.91</v>
      </c>
    </row>
    <row r="103" spans="1:6" x14ac:dyDescent="0.2">
      <c r="A103" s="9" t="s">
        <v>56</v>
      </c>
      <c r="B103" s="10">
        <v>79.2</v>
      </c>
      <c r="C103" s="9">
        <v>19.28</v>
      </c>
      <c r="D103" s="9">
        <v>4.46</v>
      </c>
      <c r="E103" s="9">
        <v>21.45</v>
      </c>
      <c r="F103" s="29">
        <v>11.56</v>
      </c>
    </row>
    <row r="104" spans="1:6" x14ac:dyDescent="0.2">
      <c r="A104" s="6" t="s">
        <v>0</v>
      </c>
      <c r="B104" s="7">
        <v>53.3</v>
      </c>
      <c r="C104" s="6">
        <v>24.94</v>
      </c>
      <c r="D104" s="6">
        <v>13.18</v>
      </c>
      <c r="E104" s="6">
        <v>19.98</v>
      </c>
      <c r="F104" s="28">
        <v>4</v>
      </c>
    </row>
    <row r="105" spans="1:6" x14ac:dyDescent="0.2">
      <c r="A105" s="9" t="s">
        <v>31</v>
      </c>
      <c r="B105" s="10">
        <v>86.4</v>
      </c>
      <c r="C105" s="9">
        <v>24</v>
      </c>
      <c r="D105" s="9">
        <v>10.5</v>
      </c>
      <c r="E105" s="9">
        <v>23.56</v>
      </c>
      <c r="F105" s="29">
        <v>12.95</v>
      </c>
    </row>
    <row r="106" spans="1:6" x14ac:dyDescent="0.2">
      <c r="A106" s="6" t="s">
        <v>62</v>
      </c>
      <c r="B106" s="7">
        <v>63.2</v>
      </c>
      <c r="C106" s="6">
        <v>22</v>
      </c>
      <c r="D106" s="6">
        <v>9.57</v>
      </c>
      <c r="E106" s="6">
        <v>23.28</v>
      </c>
      <c r="F106" s="28">
        <v>6.5</v>
      </c>
    </row>
    <row r="107" spans="1:6" x14ac:dyDescent="0.2">
      <c r="A107" s="9" t="s">
        <v>26</v>
      </c>
      <c r="B107" s="10">
        <v>69.2</v>
      </c>
      <c r="C107" s="9">
        <v>26.52</v>
      </c>
      <c r="D107" s="9">
        <v>8</v>
      </c>
      <c r="E107" s="9">
        <v>19.87</v>
      </c>
      <c r="F107" s="29">
        <v>10.17</v>
      </c>
    </row>
    <row r="108" spans="1:6" x14ac:dyDescent="0.2">
      <c r="A108" s="6" t="s">
        <v>57</v>
      </c>
      <c r="B108" s="7">
        <v>91.7</v>
      </c>
      <c r="C108" s="6">
        <v>23</v>
      </c>
      <c r="D108" s="6">
        <v>6.39</v>
      </c>
      <c r="E108" s="6">
        <v>21.8</v>
      </c>
      <c r="F108" s="28">
        <v>10.1</v>
      </c>
    </row>
    <row r="109" spans="1:6" x14ac:dyDescent="0.2">
      <c r="A109" s="9" t="s">
        <v>44</v>
      </c>
      <c r="B109" s="10">
        <v>85.7</v>
      </c>
      <c r="C109" s="9">
        <v>18.600000000000001</v>
      </c>
      <c r="D109" s="9">
        <v>8.82</v>
      </c>
      <c r="E109" s="9">
        <v>28.13</v>
      </c>
      <c r="F109" s="29">
        <v>6.94</v>
      </c>
    </row>
    <row r="110" spans="1:6" x14ac:dyDescent="0.2">
      <c r="A110" s="6" t="s">
        <v>128</v>
      </c>
      <c r="B110" s="7">
        <v>74.099999999999994</v>
      </c>
      <c r="C110" s="6">
        <v>20.68</v>
      </c>
      <c r="D110" s="6">
        <v>6.77</v>
      </c>
      <c r="E110" s="6">
        <v>26.88</v>
      </c>
      <c r="F110" s="28">
        <v>10.26</v>
      </c>
    </row>
    <row r="111" spans="1:6" x14ac:dyDescent="0.2">
      <c r="A111" s="9" t="s">
        <v>92</v>
      </c>
      <c r="B111" s="10">
        <v>72.2</v>
      </c>
      <c r="C111" s="9">
        <v>19.61</v>
      </c>
      <c r="D111" s="9">
        <v>10</v>
      </c>
      <c r="E111" s="9">
        <v>22.34</v>
      </c>
      <c r="F111" s="29">
        <v>4.17</v>
      </c>
    </row>
    <row r="112" spans="1:6" x14ac:dyDescent="0.2">
      <c r="A112" s="6" t="s">
        <v>100</v>
      </c>
      <c r="B112" s="7">
        <v>60</v>
      </c>
      <c r="C112" s="6">
        <v>20.67</v>
      </c>
      <c r="D112" s="6">
        <v>6.22</v>
      </c>
      <c r="E112" s="6">
        <v>21.61</v>
      </c>
      <c r="F112" s="28">
        <v>5.36</v>
      </c>
    </row>
    <row r="113" spans="1:6" x14ac:dyDescent="0.2">
      <c r="A113" s="9" t="s">
        <v>64</v>
      </c>
      <c r="B113" s="10">
        <v>79.3</v>
      </c>
      <c r="C113" s="9">
        <v>20.59</v>
      </c>
      <c r="D113" s="9">
        <v>8.9600000000000009</v>
      </c>
      <c r="E113" s="9">
        <v>19.45</v>
      </c>
      <c r="F113" s="29">
        <v>12.42</v>
      </c>
    </row>
    <row r="114" spans="1:6" x14ac:dyDescent="0.2">
      <c r="A114" s="6" t="s">
        <v>32</v>
      </c>
      <c r="B114" s="7">
        <v>62.1</v>
      </c>
      <c r="C114" s="6">
        <v>19.91</v>
      </c>
      <c r="D114" s="6">
        <v>6.29</v>
      </c>
      <c r="E114" s="6">
        <v>20.94</v>
      </c>
      <c r="F114" s="28">
        <v>0.75</v>
      </c>
    </row>
    <row r="115" spans="1:6" x14ac:dyDescent="0.2">
      <c r="A115" s="9" t="s">
        <v>17</v>
      </c>
      <c r="B115" s="10">
        <v>52.9</v>
      </c>
      <c r="C115" s="9">
        <v>18.7</v>
      </c>
      <c r="D115" s="9">
        <v>4.7300000000000004</v>
      </c>
      <c r="E115" s="9">
        <v>19.78</v>
      </c>
      <c r="F115" s="29">
        <v>13.54</v>
      </c>
    </row>
    <row r="116" spans="1:6" x14ac:dyDescent="0.2">
      <c r="A116" s="6" t="s">
        <v>41</v>
      </c>
      <c r="B116" s="7">
        <v>64.3</v>
      </c>
      <c r="C116" s="6">
        <v>21.03</v>
      </c>
      <c r="D116" s="6">
        <v>3.53</v>
      </c>
      <c r="E116" s="6">
        <v>23.14</v>
      </c>
      <c r="F116" s="28">
        <v>9.1300000000000008</v>
      </c>
    </row>
    <row r="117" spans="1:6" x14ac:dyDescent="0.2">
      <c r="A117" s="9" t="s">
        <v>20</v>
      </c>
      <c r="B117" s="10">
        <v>85</v>
      </c>
      <c r="C117" s="9">
        <v>21.49</v>
      </c>
      <c r="D117" s="9">
        <v>7.89</v>
      </c>
      <c r="E117" s="9">
        <v>28</v>
      </c>
      <c r="F117" s="29">
        <v>5.26</v>
      </c>
    </row>
    <row r="118" spans="1:6" x14ac:dyDescent="0.2">
      <c r="A118" s="6" t="s">
        <v>80</v>
      </c>
      <c r="B118" s="7">
        <v>68.400000000000006</v>
      </c>
      <c r="C118" s="6">
        <v>25.02</v>
      </c>
      <c r="D118" s="6">
        <v>4.8899999999999997</v>
      </c>
      <c r="E118" s="6">
        <v>22.09</v>
      </c>
      <c r="F118" s="28">
        <v>11.85</v>
      </c>
    </row>
    <row r="119" spans="1:6" x14ac:dyDescent="0.2">
      <c r="A119" s="9" t="s">
        <v>29</v>
      </c>
      <c r="B119" s="10">
        <v>68.8</v>
      </c>
      <c r="C119" s="9">
        <v>22.42</v>
      </c>
      <c r="D119" s="9">
        <v>7.48</v>
      </c>
      <c r="E119" s="9">
        <v>18.84</v>
      </c>
      <c r="F119" s="29">
        <v>13.26</v>
      </c>
    </row>
    <row r="120" spans="1:6" x14ac:dyDescent="0.2">
      <c r="A120" s="6" t="s">
        <v>25</v>
      </c>
      <c r="B120" s="7">
        <v>83.3</v>
      </c>
      <c r="C120" s="6">
        <v>17.14</v>
      </c>
      <c r="D120" s="6">
        <v>9.2100000000000009</v>
      </c>
      <c r="E120" s="6">
        <v>20.75</v>
      </c>
      <c r="F120" s="28">
        <v>9.66</v>
      </c>
    </row>
    <row r="121" spans="1:6" x14ac:dyDescent="0.2">
      <c r="A121" s="2" t="s">
        <v>106</v>
      </c>
      <c r="B121" s="4">
        <v>63.6</v>
      </c>
      <c r="C121" s="2">
        <v>20.76</v>
      </c>
      <c r="D121" s="2">
        <v>5.45</v>
      </c>
      <c r="E121" s="2">
        <v>25.39</v>
      </c>
      <c r="F121" s="30">
        <v>8.08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226"/>
  <sheetViews>
    <sheetView showGridLines="0" workbookViewId="0">
      <selection activeCell="F2" sqref="F2"/>
    </sheetView>
  </sheetViews>
  <sheetFormatPr baseColWidth="10" defaultColWidth="8.83203125" defaultRowHeight="15" x14ac:dyDescent="0.2"/>
  <cols>
    <col min="1" max="1" width="7.5" bestFit="1" customWidth="1"/>
    <col min="2" max="2" width="7" bestFit="1" customWidth="1"/>
    <col min="3" max="4" width="15.5" bestFit="1" customWidth="1"/>
    <col min="5" max="5" width="9.1640625" bestFit="1" customWidth="1"/>
    <col min="6" max="6" width="16.33203125" bestFit="1" customWidth="1"/>
  </cols>
  <sheetData>
    <row r="1" spans="1:6" x14ac:dyDescent="0.2">
      <c r="A1" t="s">
        <v>137</v>
      </c>
      <c r="B1" t="s">
        <v>130</v>
      </c>
      <c r="C1" t="s">
        <v>146</v>
      </c>
      <c r="D1" t="s">
        <v>147</v>
      </c>
      <c r="E1" t="s">
        <v>135</v>
      </c>
      <c r="F1" t="s">
        <v>136</v>
      </c>
    </row>
    <row r="2" spans="1:6" x14ac:dyDescent="0.2">
      <c r="A2">
        <v>1</v>
      </c>
      <c r="B2">
        <v>39.200000000000003</v>
      </c>
      <c r="C2">
        <v>72.73</v>
      </c>
      <c r="D2">
        <v>18.18</v>
      </c>
      <c r="E2" s="1">
        <v>2.1250810185185185E-2</v>
      </c>
      <c r="F2">
        <v>28</v>
      </c>
    </row>
    <row r="3" spans="1:6" x14ac:dyDescent="0.2">
      <c r="A3">
        <v>2</v>
      </c>
      <c r="B3">
        <v>38.799999999999997</v>
      </c>
      <c r="C3">
        <v>71.19</v>
      </c>
      <c r="D3">
        <v>16.95</v>
      </c>
      <c r="E3" s="1">
        <v>2.1480671296296296E-2</v>
      </c>
      <c r="F3">
        <v>19</v>
      </c>
    </row>
    <row r="4" spans="1:6" x14ac:dyDescent="0.2">
      <c r="A4">
        <v>3</v>
      </c>
      <c r="B4">
        <v>34.4</v>
      </c>
      <c r="C4">
        <v>64.150000000000006</v>
      </c>
      <c r="D4">
        <v>22.64</v>
      </c>
      <c r="E4" s="1">
        <v>2.2155439814814815E-2</v>
      </c>
      <c r="F4">
        <v>20</v>
      </c>
    </row>
    <row r="5" spans="1:6" x14ac:dyDescent="0.2">
      <c r="A5">
        <v>4</v>
      </c>
      <c r="B5">
        <v>41.8</v>
      </c>
      <c r="C5">
        <v>50</v>
      </c>
      <c r="D5">
        <v>28.85</v>
      </c>
      <c r="E5" s="1">
        <v>2.1564120370370369E-2</v>
      </c>
      <c r="F5">
        <v>15</v>
      </c>
    </row>
    <row r="6" spans="1:6" x14ac:dyDescent="0.2">
      <c r="A6">
        <v>5</v>
      </c>
      <c r="B6">
        <v>43.9</v>
      </c>
      <c r="C6">
        <v>68.25</v>
      </c>
      <c r="D6">
        <v>20.63</v>
      </c>
      <c r="E6" s="1">
        <v>2.2409143518518516E-2</v>
      </c>
      <c r="F6">
        <v>17</v>
      </c>
    </row>
    <row r="7" spans="1:6" x14ac:dyDescent="0.2">
      <c r="A7">
        <v>6</v>
      </c>
      <c r="B7">
        <v>39.4</v>
      </c>
      <c r="C7">
        <v>79.66</v>
      </c>
      <c r="D7">
        <v>11.86</v>
      </c>
      <c r="E7" s="1">
        <v>2.3036805555555557E-2</v>
      </c>
      <c r="F7">
        <v>12</v>
      </c>
    </row>
    <row r="8" spans="1:6" x14ac:dyDescent="0.2">
      <c r="A8">
        <v>7</v>
      </c>
      <c r="B8">
        <v>37.6</v>
      </c>
      <c r="C8">
        <v>62.86</v>
      </c>
      <c r="D8">
        <v>25.71</v>
      </c>
      <c r="E8" s="1">
        <v>1.9260069444444444E-2</v>
      </c>
      <c r="F8">
        <v>20</v>
      </c>
    </row>
    <row r="9" spans="1:6" x14ac:dyDescent="0.2">
      <c r="A9">
        <v>8</v>
      </c>
      <c r="B9">
        <v>35.1</v>
      </c>
      <c r="C9">
        <v>69.7</v>
      </c>
      <c r="D9">
        <v>27.27</v>
      </c>
      <c r="E9" s="1">
        <v>2.2863194444444446E-2</v>
      </c>
      <c r="F9">
        <v>20</v>
      </c>
    </row>
    <row r="10" spans="1:6" x14ac:dyDescent="0.2">
      <c r="A10">
        <v>9</v>
      </c>
      <c r="B10">
        <v>28.4</v>
      </c>
      <c r="C10">
        <v>59.18</v>
      </c>
      <c r="D10">
        <v>12.24</v>
      </c>
      <c r="E10" s="1">
        <v>2.4284837962962963E-2</v>
      </c>
      <c r="F10">
        <v>16</v>
      </c>
    </row>
    <row r="11" spans="1:6" x14ac:dyDescent="0.2">
      <c r="A11">
        <v>10</v>
      </c>
      <c r="B11">
        <v>40.299999999999997</v>
      </c>
      <c r="C11">
        <v>65</v>
      </c>
      <c r="D11">
        <v>20</v>
      </c>
      <c r="E11" s="1">
        <v>2.2950462962962964E-2</v>
      </c>
      <c r="F11">
        <v>12</v>
      </c>
    </row>
    <row r="12" spans="1:6" x14ac:dyDescent="0.2">
      <c r="A12">
        <v>11</v>
      </c>
      <c r="B12">
        <v>38.6</v>
      </c>
      <c r="C12">
        <v>72.58</v>
      </c>
      <c r="D12">
        <v>17.739999999999998</v>
      </c>
      <c r="E12" s="1">
        <v>2.0032060185185184E-2</v>
      </c>
      <c r="F12">
        <v>14</v>
      </c>
    </row>
    <row r="13" spans="1:6" x14ac:dyDescent="0.2">
      <c r="A13">
        <v>12</v>
      </c>
      <c r="B13">
        <v>26.3</v>
      </c>
      <c r="C13">
        <v>50</v>
      </c>
      <c r="D13">
        <v>30.95</v>
      </c>
      <c r="E13" s="1">
        <v>2.2764467592592593E-2</v>
      </c>
      <c r="F13">
        <v>18</v>
      </c>
    </row>
    <row r="14" spans="1:6" x14ac:dyDescent="0.2">
      <c r="A14">
        <v>13</v>
      </c>
      <c r="B14">
        <v>28.3</v>
      </c>
      <c r="C14">
        <v>62.26</v>
      </c>
      <c r="D14">
        <v>22.64</v>
      </c>
      <c r="E14" s="1">
        <v>2.161747685185185E-2</v>
      </c>
      <c r="F14">
        <v>17</v>
      </c>
    </row>
    <row r="15" spans="1:6" x14ac:dyDescent="0.2">
      <c r="A15">
        <v>14</v>
      </c>
      <c r="B15">
        <v>23.9</v>
      </c>
      <c r="C15">
        <v>54.76</v>
      </c>
      <c r="D15">
        <v>28.57</v>
      </c>
      <c r="E15" s="1">
        <v>2.1679976851851853E-2</v>
      </c>
      <c r="F15">
        <v>22</v>
      </c>
    </row>
    <row r="16" spans="1:6" x14ac:dyDescent="0.2">
      <c r="A16">
        <v>15</v>
      </c>
      <c r="B16">
        <v>41.6</v>
      </c>
      <c r="C16">
        <v>70</v>
      </c>
      <c r="D16">
        <v>16</v>
      </c>
      <c r="E16" s="1">
        <v>2.3640856481481481E-2</v>
      </c>
      <c r="F16">
        <v>8</v>
      </c>
    </row>
    <row r="17" spans="1:6" x14ac:dyDescent="0.2">
      <c r="A17">
        <v>16</v>
      </c>
      <c r="B17">
        <v>35</v>
      </c>
      <c r="C17">
        <v>81.08</v>
      </c>
      <c r="D17">
        <v>2.7</v>
      </c>
      <c r="E17" s="1">
        <v>2.1705555555555558E-2</v>
      </c>
      <c r="F17">
        <v>26</v>
      </c>
    </row>
    <row r="18" spans="1:6" x14ac:dyDescent="0.2">
      <c r="A18">
        <v>17</v>
      </c>
      <c r="B18">
        <v>31.1</v>
      </c>
      <c r="C18">
        <v>65.52</v>
      </c>
      <c r="D18">
        <v>20.69</v>
      </c>
      <c r="E18" s="1">
        <v>2.1422800925925925E-2</v>
      </c>
      <c r="F18">
        <v>20</v>
      </c>
    </row>
    <row r="19" spans="1:6" x14ac:dyDescent="0.2">
      <c r="A19">
        <v>18</v>
      </c>
      <c r="B19">
        <v>31.2</v>
      </c>
      <c r="C19">
        <v>65.52</v>
      </c>
      <c r="D19">
        <v>17.239999999999998</v>
      </c>
      <c r="E19" s="1">
        <v>2.0224305555555554E-2</v>
      </c>
      <c r="F19">
        <v>21</v>
      </c>
    </row>
    <row r="20" spans="1:6" x14ac:dyDescent="0.2">
      <c r="A20">
        <v>19</v>
      </c>
      <c r="B20">
        <v>43.8</v>
      </c>
      <c r="C20">
        <v>56.25</v>
      </c>
      <c r="D20">
        <v>28.13</v>
      </c>
      <c r="E20" s="1">
        <v>1.8620949074074074E-2</v>
      </c>
      <c r="F20">
        <v>17</v>
      </c>
    </row>
    <row r="21" spans="1:6" x14ac:dyDescent="0.2">
      <c r="A21">
        <v>20</v>
      </c>
      <c r="B21">
        <v>34.299999999999997</v>
      </c>
      <c r="C21">
        <v>76.47</v>
      </c>
      <c r="D21">
        <v>15.69</v>
      </c>
      <c r="E21" s="1">
        <v>1.9430208333333334E-2</v>
      </c>
      <c r="F21">
        <v>10</v>
      </c>
    </row>
    <row r="22" spans="1:6" x14ac:dyDescent="0.2">
      <c r="A22">
        <v>21</v>
      </c>
      <c r="B22">
        <v>42.5</v>
      </c>
      <c r="C22">
        <v>67.39</v>
      </c>
      <c r="D22">
        <v>15.22</v>
      </c>
      <c r="E22" s="1">
        <v>1.9985763888888886E-2</v>
      </c>
      <c r="F22">
        <v>32</v>
      </c>
    </row>
    <row r="23" spans="1:6" x14ac:dyDescent="0.2">
      <c r="A23">
        <v>22</v>
      </c>
      <c r="B23">
        <v>36.4</v>
      </c>
      <c r="C23">
        <v>50</v>
      </c>
      <c r="D23">
        <v>30.95</v>
      </c>
      <c r="E23" s="1">
        <v>1.9028703703703704E-2</v>
      </c>
      <c r="F23">
        <v>26</v>
      </c>
    </row>
    <row r="24" spans="1:6" x14ac:dyDescent="0.2">
      <c r="A24">
        <v>23</v>
      </c>
      <c r="B24">
        <v>29.8</v>
      </c>
      <c r="C24">
        <v>54</v>
      </c>
      <c r="D24">
        <v>32</v>
      </c>
      <c r="E24" s="1">
        <v>2.3475810185185183E-2</v>
      </c>
      <c r="F24">
        <v>25</v>
      </c>
    </row>
    <row r="25" spans="1:6" x14ac:dyDescent="0.2">
      <c r="A25">
        <v>24</v>
      </c>
      <c r="B25">
        <v>31.2</v>
      </c>
      <c r="C25">
        <v>66.040000000000006</v>
      </c>
      <c r="D25">
        <v>24.53</v>
      </c>
      <c r="E25" s="1">
        <v>2.0264467592592591E-2</v>
      </c>
      <c r="F25">
        <v>14</v>
      </c>
    </row>
    <row r="26" spans="1:6" x14ac:dyDescent="0.2">
      <c r="A26">
        <v>25</v>
      </c>
      <c r="B26">
        <v>35.200000000000003</v>
      </c>
      <c r="C26">
        <v>60</v>
      </c>
      <c r="D26">
        <v>20</v>
      </c>
      <c r="E26" s="1">
        <v>2.1790624999999997E-2</v>
      </c>
      <c r="F26">
        <v>15</v>
      </c>
    </row>
    <row r="27" spans="1:6" x14ac:dyDescent="0.2">
      <c r="A27">
        <v>1</v>
      </c>
      <c r="B27">
        <v>35.1</v>
      </c>
      <c r="C27">
        <v>56.45</v>
      </c>
      <c r="D27">
        <v>25.81</v>
      </c>
      <c r="E27" s="1">
        <v>2.3325578703703706E-2</v>
      </c>
      <c r="F27">
        <v>17</v>
      </c>
    </row>
    <row r="28" spans="1:6" x14ac:dyDescent="0.2">
      <c r="A28">
        <v>2</v>
      </c>
      <c r="B28">
        <v>38.5</v>
      </c>
      <c r="C28">
        <v>60</v>
      </c>
      <c r="D28">
        <v>30</v>
      </c>
      <c r="E28" s="1">
        <v>2.2178240740740738E-2</v>
      </c>
      <c r="F28">
        <v>27</v>
      </c>
    </row>
    <row r="29" spans="1:6" x14ac:dyDescent="0.2">
      <c r="A29">
        <v>3</v>
      </c>
      <c r="B29">
        <v>37.799999999999997</v>
      </c>
      <c r="C29">
        <v>66.13</v>
      </c>
      <c r="D29">
        <v>20.97</v>
      </c>
      <c r="E29" s="1">
        <v>2.4165856481481483E-2</v>
      </c>
      <c r="F29">
        <v>13</v>
      </c>
    </row>
    <row r="30" spans="1:6" x14ac:dyDescent="0.2">
      <c r="A30">
        <v>4</v>
      </c>
      <c r="B30">
        <v>35.700000000000003</v>
      </c>
      <c r="C30">
        <v>64.91</v>
      </c>
      <c r="D30">
        <v>17.54</v>
      </c>
      <c r="E30" s="1">
        <v>2.0323148148148149E-2</v>
      </c>
      <c r="F30">
        <v>18</v>
      </c>
    </row>
    <row r="31" spans="1:6" x14ac:dyDescent="0.2">
      <c r="A31">
        <v>5</v>
      </c>
      <c r="B31">
        <v>43.5</v>
      </c>
      <c r="C31">
        <v>66.67</v>
      </c>
      <c r="D31">
        <v>21.74</v>
      </c>
      <c r="E31" s="1">
        <v>2.1315046296296297E-2</v>
      </c>
      <c r="F31">
        <v>18</v>
      </c>
    </row>
    <row r="32" spans="1:6" x14ac:dyDescent="0.2">
      <c r="A32">
        <v>6</v>
      </c>
      <c r="B32">
        <v>29.8</v>
      </c>
      <c r="C32">
        <v>68.63</v>
      </c>
      <c r="D32">
        <v>15.69</v>
      </c>
      <c r="E32" s="1">
        <v>2.281990740740741E-2</v>
      </c>
      <c r="F32">
        <v>14</v>
      </c>
    </row>
    <row r="33" spans="1:6" x14ac:dyDescent="0.2">
      <c r="A33">
        <v>7</v>
      </c>
      <c r="B33">
        <v>42.1</v>
      </c>
      <c r="C33">
        <v>65.150000000000006</v>
      </c>
      <c r="D33">
        <v>15.15</v>
      </c>
      <c r="E33" s="1">
        <v>2.1780671296296295E-2</v>
      </c>
      <c r="F33">
        <v>19</v>
      </c>
    </row>
    <row r="34" spans="1:6" x14ac:dyDescent="0.2">
      <c r="A34">
        <v>8</v>
      </c>
      <c r="B34">
        <v>40.4</v>
      </c>
      <c r="C34">
        <v>73.13</v>
      </c>
      <c r="D34">
        <v>14.93</v>
      </c>
      <c r="E34" s="1">
        <v>2.175428240740741E-2</v>
      </c>
      <c r="F34">
        <v>14</v>
      </c>
    </row>
    <row r="35" spans="1:6" x14ac:dyDescent="0.2">
      <c r="A35">
        <v>9</v>
      </c>
      <c r="B35">
        <v>30.9</v>
      </c>
      <c r="C35">
        <v>64.81</v>
      </c>
      <c r="D35">
        <v>20.37</v>
      </c>
      <c r="E35" s="1">
        <v>2.1966782407407407E-2</v>
      </c>
      <c r="F35">
        <v>16</v>
      </c>
    </row>
    <row r="36" spans="1:6" x14ac:dyDescent="0.2">
      <c r="A36">
        <v>10</v>
      </c>
      <c r="B36">
        <v>40.799999999999997</v>
      </c>
      <c r="C36">
        <v>59.68</v>
      </c>
      <c r="D36">
        <v>24.19</v>
      </c>
      <c r="E36" s="1">
        <v>1.8421527777777776E-2</v>
      </c>
      <c r="F36">
        <v>23</v>
      </c>
    </row>
    <row r="37" spans="1:6" x14ac:dyDescent="0.2">
      <c r="A37">
        <v>11</v>
      </c>
      <c r="B37">
        <v>34.200000000000003</v>
      </c>
      <c r="C37">
        <v>58.49</v>
      </c>
      <c r="D37">
        <v>22.64</v>
      </c>
      <c r="E37" s="1">
        <v>2.0586689814814815E-2</v>
      </c>
      <c r="F37">
        <v>20</v>
      </c>
    </row>
    <row r="38" spans="1:6" x14ac:dyDescent="0.2">
      <c r="A38">
        <v>12</v>
      </c>
      <c r="B38">
        <v>31.4</v>
      </c>
      <c r="C38">
        <v>66.069999999999993</v>
      </c>
      <c r="D38">
        <v>26.79</v>
      </c>
      <c r="E38" s="1">
        <v>2.3238078703703705E-2</v>
      </c>
      <c r="F38">
        <v>16</v>
      </c>
    </row>
    <row r="39" spans="1:6" x14ac:dyDescent="0.2">
      <c r="A39">
        <v>13</v>
      </c>
      <c r="B39">
        <v>48.1</v>
      </c>
      <c r="C39">
        <v>75.709999999999994</v>
      </c>
      <c r="D39">
        <v>11.43</v>
      </c>
      <c r="E39" s="1">
        <v>1.9349189814814816E-2</v>
      </c>
      <c r="F39">
        <v>26</v>
      </c>
    </row>
    <row r="40" spans="1:6" x14ac:dyDescent="0.2">
      <c r="A40">
        <v>14</v>
      </c>
      <c r="B40">
        <v>31.7</v>
      </c>
      <c r="C40">
        <v>56.52</v>
      </c>
      <c r="D40">
        <v>32.61</v>
      </c>
      <c r="E40" s="1">
        <v>2.0431828703703702E-2</v>
      </c>
      <c r="F40">
        <v>15</v>
      </c>
    </row>
    <row r="41" spans="1:6" x14ac:dyDescent="0.2">
      <c r="A41">
        <v>15</v>
      </c>
      <c r="B41">
        <v>40.700000000000003</v>
      </c>
      <c r="C41">
        <v>66.67</v>
      </c>
      <c r="D41">
        <v>22.22</v>
      </c>
      <c r="E41" s="1">
        <v>1.7550462962962962E-2</v>
      </c>
      <c r="F41">
        <v>19</v>
      </c>
    </row>
    <row r="42" spans="1:6" x14ac:dyDescent="0.2">
      <c r="A42">
        <v>16</v>
      </c>
      <c r="B42">
        <v>24.7</v>
      </c>
      <c r="C42">
        <v>55.81</v>
      </c>
      <c r="D42">
        <v>27.91</v>
      </c>
      <c r="E42" s="1">
        <v>2.0332754629629628E-2</v>
      </c>
      <c r="F42">
        <v>22</v>
      </c>
    </row>
    <row r="43" spans="1:6" x14ac:dyDescent="0.2">
      <c r="A43">
        <v>17</v>
      </c>
      <c r="B43">
        <v>30.6</v>
      </c>
      <c r="C43">
        <v>60.87</v>
      </c>
      <c r="D43">
        <v>30.43</v>
      </c>
      <c r="E43" s="1">
        <v>2.2723495370370373E-2</v>
      </c>
      <c r="F43">
        <v>21</v>
      </c>
    </row>
    <row r="44" spans="1:6" x14ac:dyDescent="0.2">
      <c r="A44">
        <v>18</v>
      </c>
      <c r="B44">
        <v>36.799999999999997</v>
      </c>
      <c r="C44">
        <v>75.86</v>
      </c>
      <c r="D44">
        <v>18.97</v>
      </c>
      <c r="E44" s="1">
        <v>2.2882870370370369E-2</v>
      </c>
      <c r="F44">
        <v>8</v>
      </c>
    </row>
    <row r="45" spans="1:6" x14ac:dyDescent="0.2">
      <c r="A45">
        <v>19</v>
      </c>
      <c r="B45">
        <v>43</v>
      </c>
      <c r="C45">
        <v>64.290000000000006</v>
      </c>
      <c r="D45">
        <v>21.43</v>
      </c>
      <c r="E45" s="1">
        <v>1.8928009259259259E-2</v>
      </c>
      <c r="F45">
        <v>17</v>
      </c>
    </row>
    <row r="46" spans="1:6" x14ac:dyDescent="0.2">
      <c r="A46">
        <v>20</v>
      </c>
      <c r="B46">
        <v>39.5</v>
      </c>
      <c r="C46">
        <v>66.67</v>
      </c>
      <c r="D46">
        <v>25</v>
      </c>
      <c r="E46" s="1">
        <v>2.0470138888888888E-2</v>
      </c>
      <c r="F46">
        <v>15</v>
      </c>
    </row>
    <row r="47" spans="1:6" x14ac:dyDescent="0.2">
      <c r="A47">
        <v>21</v>
      </c>
      <c r="B47">
        <v>26.8</v>
      </c>
      <c r="C47">
        <v>64.81</v>
      </c>
      <c r="D47">
        <v>20.37</v>
      </c>
      <c r="E47" s="1">
        <v>2.3513194444444444E-2</v>
      </c>
      <c r="F47">
        <v>18</v>
      </c>
    </row>
    <row r="48" spans="1:6" x14ac:dyDescent="0.2">
      <c r="A48">
        <v>22</v>
      </c>
      <c r="B48">
        <v>35.200000000000003</v>
      </c>
      <c r="C48">
        <v>59.09</v>
      </c>
      <c r="D48">
        <v>24.24</v>
      </c>
      <c r="E48" s="1">
        <v>2.1207291666666666E-2</v>
      </c>
      <c r="F48">
        <v>12</v>
      </c>
    </row>
    <row r="49" spans="1:6" x14ac:dyDescent="0.2">
      <c r="A49">
        <v>23</v>
      </c>
      <c r="B49">
        <v>19.5</v>
      </c>
      <c r="C49">
        <v>40</v>
      </c>
      <c r="D49">
        <v>42.5</v>
      </c>
      <c r="E49" s="1">
        <v>2.0695370370370367E-2</v>
      </c>
      <c r="F49">
        <v>20</v>
      </c>
    </row>
    <row r="50" spans="1:6" x14ac:dyDescent="0.2">
      <c r="A50">
        <v>24</v>
      </c>
      <c r="B50">
        <v>44.3</v>
      </c>
      <c r="C50">
        <v>72.599999999999994</v>
      </c>
      <c r="D50">
        <v>15.07</v>
      </c>
      <c r="E50" s="1">
        <v>2.0964814814814815E-2</v>
      </c>
      <c r="F50">
        <v>17</v>
      </c>
    </row>
    <row r="51" spans="1:6" x14ac:dyDescent="0.2">
      <c r="A51">
        <v>25</v>
      </c>
      <c r="B51">
        <v>23.2</v>
      </c>
      <c r="C51">
        <v>56.86</v>
      </c>
      <c r="D51">
        <v>9.8000000000000007</v>
      </c>
      <c r="E51" s="1">
        <v>2.150960648148148E-2</v>
      </c>
      <c r="F51">
        <v>17</v>
      </c>
    </row>
    <row r="52" spans="1:6" x14ac:dyDescent="0.2">
      <c r="A52">
        <v>1</v>
      </c>
      <c r="B52">
        <v>44.8</v>
      </c>
      <c r="C52">
        <v>71.62</v>
      </c>
      <c r="D52">
        <v>13.51</v>
      </c>
      <c r="E52" s="1">
        <v>2.1878124999999998E-2</v>
      </c>
      <c r="F52">
        <v>26</v>
      </c>
    </row>
    <row r="53" spans="1:6" x14ac:dyDescent="0.2">
      <c r="A53">
        <v>2</v>
      </c>
      <c r="B53">
        <v>45.4</v>
      </c>
      <c r="C53">
        <v>65</v>
      </c>
      <c r="D53">
        <v>21.25</v>
      </c>
      <c r="E53" s="1">
        <v>1.8622685185185183E-2</v>
      </c>
      <c r="F53">
        <v>11</v>
      </c>
    </row>
    <row r="54" spans="1:6" x14ac:dyDescent="0.2">
      <c r="A54">
        <v>3</v>
      </c>
      <c r="B54">
        <v>46.5</v>
      </c>
      <c r="C54">
        <v>61.54</v>
      </c>
      <c r="D54">
        <v>24.62</v>
      </c>
      <c r="E54" s="1">
        <v>2.1265972222222221E-2</v>
      </c>
      <c r="F54">
        <v>22</v>
      </c>
    </row>
    <row r="55" spans="1:6" x14ac:dyDescent="0.2">
      <c r="A55">
        <v>4</v>
      </c>
      <c r="B55">
        <v>36.9</v>
      </c>
      <c r="C55">
        <v>70.31</v>
      </c>
      <c r="D55">
        <v>15.63</v>
      </c>
      <c r="E55" s="1">
        <v>2.2042824074074072E-2</v>
      </c>
      <c r="F55">
        <v>22</v>
      </c>
    </row>
    <row r="56" spans="1:6" x14ac:dyDescent="0.2">
      <c r="A56">
        <v>5</v>
      </c>
      <c r="B56">
        <v>33.700000000000003</v>
      </c>
      <c r="C56">
        <v>59.32</v>
      </c>
      <c r="D56">
        <v>32.200000000000003</v>
      </c>
      <c r="E56" s="1">
        <v>2.01E-2</v>
      </c>
      <c r="F56">
        <v>32</v>
      </c>
    </row>
    <row r="57" spans="1:6" x14ac:dyDescent="0.2">
      <c r="A57">
        <v>6</v>
      </c>
      <c r="B57">
        <v>43</v>
      </c>
      <c r="C57">
        <v>72.06</v>
      </c>
      <c r="D57">
        <v>14.71</v>
      </c>
      <c r="E57" s="1">
        <v>2.4550347222222223E-2</v>
      </c>
      <c r="F57">
        <v>15</v>
      </c>
    </row>
    <row r="58" spans="1:6" x14ac:dyDescent="0.2">
      <c r="A58">
        <v>7</v>
      </c>
      <c r="B58">
        <v>48.2</v>
      </c>
      <c r="C58">
        <v>65.75</v>
      </c>
      <c r="D58">
        <v>19.18</v>
      </c>
      <c r="E58" s="1">
        <v>2.0172685185185186E-2</v>
      </c>
      <c r="F58">
        <v>13</v>
      </c>
    </row>
    <row r="59" spans="1:6" x14ac:dyDescent="0.2">
      <c r="A59">
        <v>8</v>
      </c>
      <c r="B59">
        <v>37.9</v>
      </c>
      <c r="C59">
        <v>69.86</v>
      </c>
      <c r="D59">
        <v>10.96</v>
      </c>
      <c r="E59" s="1">
        <v>2.3720254629629633E-2</v>
      </c>
      <c r="F59">
        <v>18</v>
      </c>
    </row>
    <row r="60" spans="1:6" x14ac:dyDescent="0.2">
      <c r="A60">
        <v>9</v>
      </c>
      <c r="B60">
        <v>41.3</v>
      </c>
      <c r="C60">
        <v>67.16</v>
      </c>
      <c r="D60">
        <v>17.91</v>
      </c>
      <c r="E60" s="1">
        <v>2.0326736111111108E-2</v>
      </c>
      <c r="F60">
        <v>13</v>
      </c>
    </row>
    <row r="61" spans="1:6" x14ac:dyDescent="0.2">
      <c r="A61">
        <v>10</v>
      </c>
      <c r="B61">
        <v>33.5</v>
      </c>
      <c r="C61">
        <v>62.75</v>
      </c>
      <c r="D61">
        <v>31.37</v>
      </c>
      <c r="E61" s="1">
        <v>2.0253703703703704E-2</v>
      </c>
      <c r="F61">
        <v>16</v>
      </c>
    </row>
    <row r="62" spans="1:6" x14ac:dyDescent="0.2">
      <c r="A62">
        <v>11</v>
      </c>
      <c r="B62">
        <v>36.9</v>
      </c>
      <c r="C62">
        <v>63.93</v>
      </c>
      <c r="D62">
        <v>18.03</v>
      </c>
      <c r="E62" s="1">
        <v>2.0571527777777779E-2</v>
      </c>
      <c r="F62">
        <v>23</v>
      </c>
    </row>
    <row r="63" spans="1:6" x14ac:dyDescent="0.2">
      <c r="A63">
        <v>12</v>
      </c>
      <c r="B63">
        <v>36.9</v>
      </c>
      <c r="C63">
        <v>62.5</v>
      </c>
      <c r="D63">
        <v>28.13</v>
      </c>
      <c r="E63" s="1">
        <v>1.9934953703703705E-2</v>
      </c>
      <c r="F63">
        <v>13</v>
      </c>
    </row>
    <row r="64" spans="1:6" x14ac:dyDescent="0.2">
      <c r="A64">
        <v>13</v>
      </c>
      <c r="B64">
        <v>34.6</v>
      </c>
      <c r="C64">
        <v>63.93</v>
      </c>
      <c r="D64">
        <v>22.95</v>
      </c>
      <c r="E64" s="1">
        <v>2.3363078703703705E-2</v>
      </c>
      <c r="F64">
        <v>26</v>
      </c>
    </row>
    <row r="65" spans="1:6" x14ac:dyDescent="0.2">
      <c r="A65">
        <v>14</v>
      </c>
      <c r="B65">
        <v>27.8</v>
      </c>
      <c r="C65">
        <v>62.22</v>
      </c>
      <c r="D65">
        <v>31.11</v>
      </c>
      <c r="E65" s="1">
        <v>2.0136458333333333E-2</v>
      </c>
      <c r="F65">
        <v>16</v>
      </c>
    </row>
    <row r="66" spans="1:6" x14ac:dyDescent="0.2">
      <c r="A66">
        <v>15</v>
      </c>
      <c r="B66">
        <v>30.8</v>
      </c>
      <c r="C66">
        <v>48.08</v>
      </c>
      <c r="D66">
        <v>25</v>
      </c>
      <c r="E66" s="1">
        <v>2.1797569444444446E-2</v>
      </c>
      <c r="F66">
        <v>18</v>
      </c>
    </row>
    <row r="67" spans="1:6" x14ac:dyDescent="0.2">
      <c r="A67">
        <v>16</v>
      </c>
      <c r="B67">
        <v>39.700000000000003</v>
      </c>
      <c r="C67">
        <v>70.42</v>
      </c>
      <c r="D67">
        <v>19.72</v>
      </c>
      <c r="E67" s="1">
        <v>2.1844444444444444E-2</v>
      </c>
      <c r="F67">
        <v>24</v>
      </c>
    </row>
    <row r="68" spans="1:6" x14ac:dyDescent="0.2">
      <c r="A68">
        <v>17</v>
      </c>
      <c r="B68">
        <v>28.3</v>
      </c>
      <c r="C68">
        <v>56.1</v>
      </c>
      <c r="D68">
        <v>14.63</v>
      </c>
      <c r="E68" s="1">
        <v>1.9608217592592594E-2</v>
      </c>
      <c r="F68">
        <v>25</v>
      </c>
    </row>
    <row r="69" spans="1:6" x14ac:dyDescent="0.2">
      <c r="A69">
        <v>18</v>
      </c>
      <c r="B69">
        <v>35.799999999999997</v>
      </c>
      <c r="C69">
        <v>69.349999999999994</v>
      </c>
      <c r="D69">
        <v>20.97</v>
      </c>
      <c r="E69" s="1">
        <v>2.2730555555555556E-2</v>
      </c>
      <c r="F69">
        <v>13</v>
      </c>
    </row>
    <row r="70" spans="1:6" x14ac:dyDescent="0.2">
      <c r="A70">
        <v>19</v>
      </c>
      <c r="B70">
        <v>34.5</v>
      </c>
      <c r="C70">
        <v>55</v>
      </c>
      <c r="D70">
        <v>25</v>
      </c>
      <c r="E70" s="1">
        <v>1.8909606481481479E-2</v>
      </c>
      <c r="F70">
        <v>18</v>
      </c>
    </row>
    <row r="71" spans="1:6" x14ac:dyDescent="0.2">
      <c r="A71">
        <v>20</v>
      </c>
      <c r="B71">
        <v>35.799999999999997</v>
      </c>
      <c r="C71">
        <v>75.47</v>
      </c>
      <c r="D71">
        <v>11.32</v>
      </c>
      <c r="E71" s="1">
        <v>2.1229513888888888E-2</v>
      </c>
      <c r="F71">
        <v>12</v>
      </c>
    </row>
    <row r="72" spans="1:6" x14ac:dyDescent="0.2">
      <c r="A72">
        <v>21</v>
      </c>
      <c r="B72">
        <v>31.3</v>
      </c>
      <c r="C72">
        <v>57.78</v>
      </c>
      <c r="D72">
        <v>26.67</v>
      </c>
      <c r="E72" s="1">
        <v>2.0743402777777777E-2</v>
      </c>
      <c r="F72">
        <v>16</v>
      </c>
    </row>
    <row r="73" spans="1:6" x14ac:dyDescent="0.2">
      <c r="A73">
        <v>22</v>
      </c>
      <c r="B73">
        <v>35.5</v>
      </c>
      <c r="C73">
        <v>65.52</v>
      </c>
      <c r="D73">
        <v>22.41</v>
      </c>
      <c r="E73" s="1">
        <v>2.0748726851851852E-2</v>
      </c>
      <c r="F73">
        <v>20</v>
      </c>
    </row>
    <row r="74" spans="1:6" x14ac:dyDescent="0.2">
      <c r="A74">
        <v>23</v>
      </c>
      <c r="B74">
        <v>45.6</v>
      </c>
      <c r="C74">
        <v>64.790000000000006</v>
      </c>
      <c r="D74">
        <v>19.72</v>
      </c>
      <c r="E74" s="1">
        <v>1.982638888888889E-2</v>
      </c>
      <c r="F74">
        <v>24</v>
      </c>
    </row>
    <row r="75" spans="1:6" x14ac:dyDescent="0.2">
      <c r="A75">
        <v>24</v>
      </c>
      <c r="B75">
        <v>31.2</v>
      </c>
      <c r="C75">
        <v>67.239999999999995</v>
      </c>
      <c r="D75">
        <v>15.52</v>
      </c>
      <c r="E75" s="1">
        <v>2.2588194444444445E-2</v>
      </c>
      <c r="F75">
        <v>26</v>
      </c>
    </row>
    <row r="76" spans="1:6" x14ac:dyDescent="0.2">
      <c r="A76">
        <v>25</v>
      </c>
      <c r="B76">
        <v>36.200000000000003</v>
      </c>
      <c r="C76">
        <v>68.33</v>
      </c>
      <c r="D76">
        <v>25</v>
      </c>
      <c r="E76" s="1">
        <v>2.0915277777777779E-2</v>
      </c>
      <c r="F76">
        <v>20</v>
      </c>
    </row>
    <row r="77" spans="1:6" x14ac:dyDescent="0.2">
      <c r="A77">
        <v>1</v>
      </c>
      <c r="B77">
        <v>51.6</v>
      </c>
      <c r="C77">
        <v>79.45</v>
      </c>
      <c r="D77">
        <v>17.809999999999999</v>
      </c>
      <c r="E77" s="1">
        <v>2.0416666666666666E-2</v>
      </c>
      <c r="F77">
        <v>18</v>
      </c>
    </row>
    <row r="78" spans="1:6" x14ac:dyDescent="0.2">
      <c r="A78">
        <v>2</v>
      </c>
      <c r="B78">
        <v>39.5</v>
      </c>
      <c r="C78">
        <v>72.13</v>
      </c>
      <c r="D78">
        <v>16.39</v>
      </c>
      <c r="E78" s="1">
        <v>2.1092939814814814E-2</v>
      </c>
      <c r="F78">
        <v>19</v>
      </c>
    </row>
    <row r="79" spans="1:6" x14ac:dyDescent="0.2">
      <c r="A79">
        <v>3</v>
      </c>
      <c r="B79">
        <v>29.4</v>
      </c>
      <c r="C79">
        <v>56</v>
      </c>
      <c r="D79">
        <v>24</v>
      </c>
      <c r="E79" s="1">
        <v>2.3136574074074077E-2</v>
      </c>
      <c r="F79">
        <v>15</v>
      </c>
    </row>
    <row r="80" spans="1:6" x14ac:dyDescent="0.2">
      <c r="A80">
        <v>4</v>
      </c>
      <c r="B80">
        <v>34.1</v>
      </c>
      <c r="C80">
        <v>71.150000000000006</v>
      </c>
      <c r="D80">
        <v>15.38</v>
      </c>
      <c r="E80" s="1">
        <v>2.2232870370370372E-2</v>
      </c>
      <c r="F80">
        <v>17</v>
      </c>
    </row>
    <row r="81" spans="1:6" x14ac:dyDescent="0.2">
      <c r="A81">
        <v>5</v>
      </c>
      <c r="B81">
        <v>39.1</v>
      </c>
      <c r="C81">
        <v>70.31</v>
      </c>
      <c r="D81">
        <v>17.190000000000001</v>
      </c>
      <c r="E81" s="1">
        <v>2.0824189814814816E-2</v>
      </c>
      <c r="F81">
        <v>16</v>
      </c>
    </row>
    <row r="82" spans="1:6" x14ac:dyDescent="0.2">
      <c r="A82">
        <v>6</v>
      </c>
      <c r="B82">
        <v>32.799999999999997</v>
      </c>
      <c r="C82">
        <v>52.73</v>
      </c>
      <c r="D82">
        <v>34.549999999999997</v>
      </c>
      <c r="E82" s="1">
        <v>2.2430555555555554E-2</v>
      </c>
      <c r="F82">
        <v>16</v>
      </c>
    </row>
    <row r="83" spans="1:6" x14ac:dyDescent="0.2">
      <c r="A83">
        <v>7</v>
      </c>
      <c r="B83">
        <v>38.200000000000003</v>
      </c>
      <c r="C83">
        <v>64.81</v>
      </c>
      <c r="D83">
        <v>14.81</v>
      </c>
      <c r="E83" s="1">
        <v>2.2225810185185185E-2</v>
      </c>
      <c r="F83">
        <v>17</v>
      </c>
    </row>
    <row r="84" spans="1:6" x14ac:dyDescent="0.2">
      <c r="A84">
        <v>8</v>
      </c>
      <c r="B84">
        <v>40.200000000000003</v>
      </c>
      <c r="C84">
        <v>68.33</v>
      </c>
      <c r="D84">
        <v>16.670000000000002</v>
      </c>
      <c r="E84" s="1">
        <v>1.8955671296296297E-2</v>
      </c>
      <c r="F84">
        <v>24</v>
      </c>
    </row>
    <row r="85" spans="1:6" x14ac:dyDescent="0.2">
      <c r="A85">
        <v>9</v>
      </c>
      <c r="B85">
        <v>45.5</v>
      </c>
      <c r="C85">
        <v>66.22</v>
      </c>
      <c r="D85">
        <v>12.16</v>
      </c>
      <c r="E85" s="1">
        <v>1.7743981481481482E-2</v>
      </c>
      <c r="F85">
        <v>18</v>
      </c>
    </row>
    <row r="86" spans="1:6" x14ac:dyDescent="0.2">
      <c r="A86">
        <v>10</v>
      </c>
      <c r="B86">
        <v>34.6</v>
      </c>
      <c r="C86">
        <v>59.7</v>
      </c>
      <c r="D86">
        <v>26.87</v>
      </c>
      <c r="E86" s="1">
        <v>2.2358449074074079E-2</v>
      </c>
      <c r="F86">
        <v>21</v>
      </c>
    </row>
    <row r="87" spans="1:6" x14ac:dyDescent="0.2">
      <c r="A87">
        <v>11</v>
      </c>
      <c r="B87">
        <v>32.299999999999997</v>
      </c>
      <c r="C87">
        <v>57.69</v>
      </c>
      <c r="D87">
        <v>32.69</v>
      </c>
      <c r="E87" s="1">
        <v>2.2056018518518516E-2</v>
      </c>
      <c r="F87">
        <v>19</v>
      </c>
    </row>
    <row r="88" spans="1:6" x14ac:dyDescent="0.2">
      <c r="A88">
        <v>12</v>
      </c>
      <c r="B88">
        <v>45.5</v>
      </c>
      <c r="C88">
        <v>84.13</v>
      </c>
      <c r="D88">
        <v>11.11</v>
      </c>
      <c r="E88" s="1">
        <v>2.1812152777777778E-2</v>
      </c>
      <c r="F88">
        <v>19</v>
      </c>
    </row>
    <row r="89" spans="1:6" x14ac:dyDescent="0.2">
      <c r="A89">
        <v>13</v>
      </c>
      <c r="B89">
        <v>52.4</v>
      </c>
      <c r="C89">
        <v>64.180000000000007</v>
      </c>
      <c r="D89">
        <v>17.91</v>
      </c>
      <c r="E89" s="1">
        <v>1.894675925925926E-2</v>
      </c>
      <c r="F89">
        <v>16</v>
      </c>
    </row>
    <row r="90" spans="1:6" x14ac:dyDescent="0.2">
      <c r="A90">
        <v>14</v>
      </c>
      <c r="B90">
        <v>35.799999999999997</v>
      </c>
      <c r="C90">
        <v>66.069999999999993</v>
      </c>
      <c r="D90">
        <v>17.86</v>
      </c>
      <c r="E90" s="1">
        <v>2.0837731481481481E-2</v>
      </c>
      <c r="F90">
        <v>19</v>
      </c>
    </row>
    <row r="91" spans="1:6" x14ac:dyDescent="0.2">
      <c r="A91">
        <v>15</v>
      </c>
      <c r="B91">
        <v>35.200000000000003</v>
      </c>
      <c r="C91">
        <v>56.9</v>
      </c>
      <c r="D91">
        <v>29.31</v>
      </c>
      <c r="E91" s="1">
        <v>2.3487384259259256E-2</v>
      </c>
      <c r="F91">
        <v>10</v>
      </c>
    </row>
    <row r="92" spans="1:6" x14ac:dyDescent="0.2">
      <c r="A92">
        <v>16</v>
      </c>
      <c r="B92">
        <v>36.9</v>
      </c>
      <c r="C92">
        <v>71.88</v>
      </c>
      <c r="D92">
        <v>14.06</v>
      </c>
      <c r="E92" s="1">
        <v>2.017534722222222E-2</v>
      </c>
      <c r="F92">
        <v>16</v>
      </c>
    </row>
    <row r="93" spans="1:6" x14ac:dyDescent="0.2">
      <c r="A93">
        <v>17</v>
      </c>
      <c r="B93">
        <v>39.1</v>
      </c>
      <c r="C93">
        <v>75</v>
      </c>
      <c r="D93">
        <v>12.5</v>
      </c>
      <c r="E93" s="1">
        <v>1.8569212962962964E-2</v>
      </c>
      <c r="F93">
        <v>18</v>
      </c>
    </row>
    <row r="94" spans="1:6" x14ac:dyDescent="0.2">
      <c r="A94">
        <v>18</v>
      </c>
      <c r="B94">
        <v>44.2</v>
      </c>
      <c r="C94">
        <v>72.599999999999994</v>
      </c>
      <c r="D94">
        <v>8.2200000000000006</v>
      </c>
      <c r="E94" s="1">
        <v>1.8572800925925923E-2</v>
      </c>
      <c r="F94">
        <v>21</v>
      </c>
    </row>
    <row r="95" spans="1:6" x14ac:dyDescent="0.2">
      <c r="A95">
        <v>19</v>
      </c>
      <c r="B95">
        <v>29.7</v>
      </c>
      <c r="C95">
        <v>67.5</v>
      </c>
      <c r="D95">
        <v>25</v>
      </c>
      <c r="E95" s="1">
        <v>2.2966319444444442E-2</v>
      </c>
      <c r="F95">
        <v>17</v>
      </c>
    </row>
    <row r="96" spans="1:6" x14ac:dyDescent="0.2">
      <c r="A96">
        <v>20</v>
      </c>
      <c r="B96">
        <v>27.2</v>
      </c>
      <c r="C96">
        <v>53.33</v>
      </c>
      <c r="D96">
        <v>26.67</v>
      </c>
      <c r="E96" s="1">
        <v>2.0214583333333334E-2</v>
      </c>
      <c r="F96">
        <v>17</v>
      </c>
    </row>
    <row r="97" spans="1:6" x14ac:dyDescent="0.2">
      <c r="A97">
        <v>21</v>
      </c>
      <c r="B97">
        <v>39.700000000000003</v>
      </c>
      <c r="C97">
        <v>61.33</v>
      </c>
      <c r="D97">
        <v>28</v>
      </c>
      <c r="E97" s="1">
        <v>2.1078009259259262E-2</v>
      </c>
      <c r="F97">
        <v>18</v>
      </c>
    </row>
    <row r="98" spans="1:6" x14ac:dyDescent="0.2">
      <c r="A98">
        <v>22</v>
      </c>
      <c r="B98">
        <v>34.799999999999997</v>
      </c>
      <c r="C98">
        <v>66.099999999999994</v>
      </c>
      <c r="D98">
        <v>20.34</v>
      </c>
      <c r="E98" s="1">
        <v>2.3311921296296296E-2</v>
      </c>
      <c r="F98">
        <v>19</v>
      </c>
    </row>
    <row r="99" spans="1:6" x14ac:dyDescent="0.2">
      <c r="A99">
        <v>23</v>
      </c>
      <c r="B99">
        <v>32.799999999999997</v>
      </c>
      <c r="C99">
        <v>68.97</v>
      </c>
      <c r="D99">
        <v>17.239999999999998</v>
      </c>
      <c r="E99" s="1">
        <v>2.018275462962963E-2</v>
      </c>
      <c r="F99">
        <v>25</v>
      </c>
    </row>
    <row r="100" spans="1:6" x14ac:dyDescent="0.2">
      <c r="A100">
        <v>24</v>
      </c>
      <c r="B100">
        <v>30.1</v>
      </c>
      <c r="C100">
        <v>66.069999999999993</v>
      </c>
      <c r="D100">
        <v>23.21</v>
      </c>
      <c r="E100" s="1">
        <v>2.2006712962962961E-2</v>
      </c>
      <c r="F100">
        <v>23</v>
      </c>
    </row>
    <row r="101" spans="1:6" x14ac:dyDescent="0.2">
      <c r="A101">
        <v>25</v>
      </c>
      <c r="B101">
        <v>37.9</v>
      </c>
      <c r="C101">
        <v>75.41</v>
      </c>
      <c r="D101">
        <v>13.11</v>
      </c>
      <c r="E101" s="1">
        <v>1.9921643518518519E-2</v>
      </c>
      <c r="F101">
        <v>16</v>
      </c>
    </row>
    <row r="102" spans="1:6" x14ac:dyDescent="0.2">
      <c r="A102">
        <v>1</v>
      </c>
      <c r="B102">
        <v>38.700000000000003</v>
      </c>
      <c r="C102">
        <v>74.19</v>
      </c>
      <c r="D102">
        <v>16.13</v>
      </c>
      <c r="E102" s="1">
        <v>2.241238425925926E-2</v>
      </c>
      <c r="F102">
        <v>15</v>
      </c>
    </row>
    <row r="103" spans="1:6" x14ac:dyDescent="0.2">
      <c r="A103">
        <v>2</v>
      </c>
      <c r="B103">
        <v>49.6</v>
      </c>
      <c r="C103">
        <v>80.819999999999993</v>
      </c>
      <c r="D103">
        <v>9.59</v>
      </c>
      <c r="E103" s="1">
        <v>1.9498726851851854E-2</v>
      </c>
      <c r="F103">
        <v>19</v>
      </c>
    </row>
    <row r="104" spans="1:6" x14ac:dyDescent="0.2">
      <c r="A104">
        <v>3</v>
      </c>
      <c r="B104">
        <v>37.200000000000003</v>
      </c>
      <c r="C104">
        <v>75</v>
      </c>
      <c r="D104">
        <v>11.54</v>
      </c>
      <c r="E104" s="1">
        <v>2.0918171296296296E-2</v>
      </c>
      <c r="F104">
        <v>18</v>
      </c>
    </row>
    <row r="105" spans="1:6" x14ac:dyDescent="0.2">
      <c r="A105">
        <v>4</v>
      </c>
      <c r="B105">
        <v>25.8</v>
      </c>
      <c r="C105">
        <v>48.33</v>
      </c>
      <c r="D105">
        <v>31.67</v>
      </c>
      <c r="E105" s="1">
        <v>2.2039699074074076E-2</v>
      </c>
      <c r="F105">
        <v>15</v>
      </c>
    </row>
    <row r="106" spans="1:6" x14ac:dyDescent="0.2">
      <c r="A106">
        <v>5</v>
      </c>
      <c r="B106">
        <v>37.799999999999997</v>
      </c>
      <c r="C106">
        <v>76</v>
      </c>
      <c r="D106">
        <v>10</v>
      </c>
      <c r="E106" s="1">
        <v>1.9528819444444446E-2</v>
      </c>
      <c r="F106">
        <v>19</v>
      </c>
    </row>
    <row r="107" spans="1:6" x14ac:dyDescent="0.2">
      <c r="A107">
        <v>6</v>
      </c>
      <c r="B107">
        <v>44.5</v>
      </c>
      <c r="C107">
        <v>73.53</v>
      </c>
      <c r="D107">
        <v>13.24</v>
      </c>
      <c r="E107" s="1">
        <v>1.9543287037037036E-2</v>
      </c>
      <c r="F107">
        <v>21</v>
      </c>
    </row>
    <row r="108" spans="1:6" x14ac:dyDescent="0.2">
      <c r="A108">
        <v>7</v>
      </c>
      <c r="B108">
        <v>27.9</v>
      </c>
      <c r="C108">
        <v>60.78</v>
      </c>
      <c r="D108">
        <v>25.49</v>
      </c>
      <c r="E108" s="1">
        <v>2.2020486111111112E-2</v>
      </c>
      <c r="F108">
        <v>18</v>
      </c>
    </row>
    <row r="109" spans="1:6" x14ac:dyDescent="0.2">
      <c r="A109">
        <v>8</v>
      </c>
      <c r="B109">
        <v>31.5</v>
      </c>
      <c r="C109">
        <v>64.58</v>
      </c>
      <c r="D109">
        <v>16.670000000000002</v>
      </c>
      <c r="E109" s="1">
        <v>2.0673032407407407E-2</v>
      </c>
      <c r="F109">
        <v>20</v>
      </c>
    </row>
    <row r="110" spans="1:6" x14ac:dyDescent="0.2">
      <c r="A110">
        <v>9</v>
      </c>
      <c r="B110">
        <v>26.5</v>
      </c>
      <c r="C110">
        <v>52.17</v>
      </c>
      <c r="D110">
        <v>30.43</v>
      </c>
      <c r="E110" s="1">
        <v>2.2529398148148149E-2</v>
      </c>
      <c r="F110">
        <v>15</v>
      </c>
    </row>
    <row r="111" spans="1:6" x14ac:dyDescent="0.2">
      <c r="A111">
        <v>10</v>
      </c>
      <c r="B111">
        <v>39.299999999999997</v>
      </c>
      <c r="C111">
        <v>70.42</v>
      </c>
      <c r="D111">
        <v>21.13</v>
      </c>
      <c r="E111" s="1">
        <v>2.0873842592592593E-2</v>
      </c>
      <c r="F111">
        <v>27</v>
      </c>
    </row>
    <row r="112" spans="1:6" x14ac:dyDescent="0.2">
      <c r="A112">
        <v>11</v>
      </c>
      <c r="B112">
        <v>41</v>
      </c>
      <c r="C112">
        <v>72.88</v>
      </c>
      <c r="D112">
        <v>22.03</v>
      </c>
      <c r="E112" s="1">
        <v>1.9996412037037035E-2</v>
      </c>
      <c r="F112">
        <v>21</v>
      </c>
    </row>
    <row r="113" spans="1:6" x14ac:dyDescent="0.2">
      <c r="A113">
        <v>12</v>
      </c>
      <c r="B113">
        <v>38.799999999999997</v>
      </c>
      <c r="C113">
        <v>63.38</v>
      </c>
      <c r="D113">
        <v>23.94</v>
      </c>
      <c r="E113" s="1">
        <v>2.2252546296296295E-2</v>
      </c>
      <c r="F113">
        <v>12</v>
      </c>
    </row>
    <row r="114" spans="1:6" x14ac:dyDescent="0.2">
      <c r="A114">
        <v>13</v>
      </c>
      <c r="B114">
        <v>31.2</v>
      </c>
      <c r="C114">
        <v>64.91</v>
      </c>
      <c r="D114">
        <v>28.07</v>
      </c>
      <c r="E114" s="1">
        <v>2.289444444444445E-2</v>
      </c>
      <c r="F114">
        <v>13</v>
      </c>
    </row>
    <row r="115" spans="1:6" x14ac:dyDescent="0.2">
      <c r="A115">
        <v>14</v>
      </c>
      <c r="B115">
        <v>29.8</v>
      </c>
      <c r="C115">
        <v>50.94</v>
      </c>
      <c r="D115">
        <v>33.96</v>
      </c>
      <c r="E115" s="1">
        <v>2.1230439814814817E-2</v>
      </c>
      <c r="F115">
        <v>17</v>
      </c>
    </row>
    <row r="116" spans="1:6" x14ac:dyDescent="0.2">
      <c r="A116">
        <v>15</v>
      </c>
      <c r="B116">
        <v>38.200000000000003</v>
      </c>
      <c r="C116">
        <v>68.66</v>
      </c>
      <c r="D116">
        <v>22.39</v>
      </c>
      <c r="E116" s="1">
        <v>2.157048611111111E-2</v>
      </c>
      <c r="F116">
        <v>20</v>
      </c>
    </row>
    <row r="117" spans="1:6" x14ac:dyDescent="0.2">
      <c r="A117">
        <v>16</v>
      </c>
      <c r="B117">
        <v>34.9</v>
      </c>
      <c r="C117">
        <v>64.709999999999994</v>
      </c>
      <c r="D117">
        <v>17.649999999999999</v>
      </c>
      <c r="E117" s="1">
        <v>1.943460648148148E-2</v>
      </c>
      <c r="F117">
        <v>21</v>
      </c>
    </row>
    <row r="118" spans="1:6" x14ac:dyDescent="0.2">
      <c r="A118">
        <v>17</v>
      </c>
      <c r="B118">
        <v>31.7</v>
      </c>
      <c r="C118">
        <v>59.65</v>
      </c>
      <c r="D118">
        <v>28.07</v>
      </c>
      <c r="E118" s="1">
        <v>2.1004282407407409E-2</v>
      </c>
      <c r="F118">
        <v>15</v>
      </c>
    </row>
    <row r="119" spans="1:6" x14ac:dyDescent="0.2">
      <c r="A119">
        <v>18</v>
      </c>
      <c r="B119">
        <v>30.2</v>
      </c>
      <c r="C119">
        <v>57.38</v>
      </c>
      <c r="D119">
        <v>24.59</v>
      </c>
      <c r="E119" s="1">
        <v>2.0585879629629631E-2</v>
      </c>
      <c r="F119">
        <v>16</v>
      </c>
    </row>
    <row r="120" spans="1:6" x14ac:dyDescent="0.2">
      <c r="A120">
        <v>19</v>
      </c>
      <c r="B120">
        <v>35.700000000000003</v>
      </c>
      <c r="C120">
        <v>69.84</v>
      </c>
      <c r="D120">
        <v>14.29</v>
      </c>
      <c r="E120" s="1">
        <v>2.1409374999999998E-2</v>
      </c>
      <c r="F120">
        <v>16</v>
      </c>
    </row>
    <row r="121" spans="1:6" x14ac:dyDescent="0.2">
      <c r="A121">
        <v>20</v>
      </c>
      <c r="B121">
        <v>32.5</v>
      </c>
      <c r="C121">
        <v>70.69</v>
      </c>
      <c r="D121">
        <v>20.69</v>
      </c>
      <c r="E121" s="1">
        <v>2.2255208333333332E-2</v>
      </c>
      <c r="F121">
        <v>23</v>
      </c>
    </row>
    <row r="122" spans="1:6" x14ac:dyDescent="0.2">
      <c r="A122">
        <v>21</v>
      </c>
      <c r="B122">
        <v>34.799999999999997</v>
      </c>
      <c r="C122">
        <v>57.14</v>
      </c>
      <c r="D122">
        <v>25</v>
      </c>
      <c r="E122" s="1">
        <v>2.2399421296296296E-2</v>
      </c>
      <c r="F122">
        <v>24</v>
      </c>
    </row>
    <row r="123" spans="1:6" x14ac:dyDescent="0.2">
      <c r="A123">
        <v>22</v>
      </c>
      <c r="B123">
        <v>38.6</v>
      </c>
      <c r="C123">
        <v>70.42</v>
      </c>
      <c r="D123">
        <v>9.86</v>
      </c>
      <c r="E123" s="1">
        <v>1.8892245370370372E-2</v>
      </c>
      <c r="F123">
        <v>20</v>
      </c>
    </row>
    <row r="124" spans="1:6" x14ac:dyDescent="0.2">
      <c r="A124">
        <v>23</v>
      </c>
      <c r="B124">
        <v>30</v>
      </c>
      <c r="C124">
        <v>50</v>
      </c>
      <c r="D124">
        <v>26</v>
      </c>
      <c r="E124" s="1">
        <v>2.0961574074074073E-2</v>
      </c>
      <c r="F124">
        <v>18</v>
      </c>
    </row>
    <row r="125" spans="1:6" x14ac:dyDescent="0.2">
      <c r="A125">
        <v>24</v>
      </c>
      <c r="B125">
        <v>29.8</v>
      </c>
      <c r="C125">
        <v>63.04</v>
      </c>
      <c r="D125">
        <v>30.43</v>
      </c>
      <c r="E125" s="1">
        <v>2.0953472222222224E-2</v>
      </c>
      <c r="F125">
        <v>27</v>
      </c>
    </row>
    <row r="126" spans="1:6" x14ac:dyDescent="0.2">
      <c r="A126">
        <v>25</v>
      </c>
      <c r="B126">
        <v>34.799999999999997</v>
      </c>
      <c r="C126">
        <v>62.9</v>
      </c>
      <c r="D126">
        <v>22.58</v>
      </c>
      <c r="E126" s="1">
        <v>2.1499652777777777E-2</v>
      </c>
      <c r="F126">
        <v>35</v>
      </c>
    </row>
    <row r="127" spans="1:6" x14ac:dyDescent="0.2">
      <c r="A127">
        <v>1</v>
      </c>
      <c r="B127">
        <v>34.799999999999997</v>
      </c>
      <c r="C127">
        <v>55.17</v>
      </c>
      <c r="D127">
        <v>32.76</v>
      </c>
      <c r="E127" s="1">
        <v>2.2776041666666667E-2</v>
      </c>
      <c r="F127">
        <v>12</v>
      </c>
    </row>
    <row r="128" spans="1:6" x14ac:dyDescent="0.2">
      <c r="A128">
        <v>2</v>
      </c>
      <c r="B128">
        <v>35.700000000000003</v>
      </c>
      <c r="C128">
        <v>72.13</v>
      </c>
      <c r="D128">
        <v>21.31</v>
      </c>
      <c r="E128" s="1">
        <v>2.1865856481481483E-2</v>
      </c>
      <c r="F128">
        <v>10</v>
      </c>
    </row>
    <row r="129" spans="1:6" x14ac:dyDescent="0.2">
      <c r="A129">
        <v>3</v>
      </c>
      <c r="B129">
        <v>48.7</v>
      </c>
      <c r="C129">
        <v>64.63</v>
      </c>
      <c r="D129">
        <v>24.39</v>
      </c>
      <c r="E129" s="1">
        <v>1.8260300925925926E-2</v>
      </c>
      <c r="F129">
        <v>23</v>
      </c>
    </row>
    <row r="130" spans="1:6" x14ac:dyDescent="0.2">
      <c r="A130">
        <v>4</v>
      </c>
      <c r="B130">
        <v>46.1</v>
      </c>
      <c r="C130">
        <v>76.12</v>
      </c>
      <c r="D130">
        <v>10.45</v>
      </c>
      <c r="E130" s="1">
        <v>1.7359490740740741E-2</v>
      </c>
      <c r="F130">
        <v>20</v>
      </c>
    </row>
    <row r="131" spans="1:6" x14ac:dyDescent="0.2">
      <c r="A131">
        <v>5</v>
      </c>
      <c r="B131">
        <v>36.799999999999997</v>
      </c>
      <c r="C131">
        <v>59.32</v>
      </c>
      <c r="D131">
        <v>27.12</v>
      </c>
      <c r="E131" s="1">
        <v>1.9503240740740741E-2</v>
      </c>
      <c r="F131">
        <v>20</v>
      </c>
    </row>
    <row r="132" spans="1:6" x14ac:dyDescent="0.2">
      <c r="A132">
        <v>6</v>
      </c>
      <c r="B132">
        <v>35.799999999999997</v>
      </c>
      <c r="C132">
        <v>60.78</v>
      </c>
      <c r="D132">
        <v>19.61</v>
      </c>
      <c r="E132" s="1">
        <v>2.2368865740740738E-2</v>
      </c>
      <c r="F132">
        <v>18</v>
      </c>
    </row>
    <row r="133" spans="1:6" x14ac:dyDescent="0.2">
      <c r="A133">
        <v>7</v>
      </c>
      <c r="B133">
        <v>43.2</v>
      </c>
      <c r="C133">
        <v>76.81</v>
      </c>
      <c r="D133">
        <v>20.29</v>
      </c>
      <c r="E133" s="1">
        <v>2.3459722222222219E-2</v>
      </c>
      <c r="F133">
        <v>17</v>
      </c>
    </row>
    <row r="134" spans="1:6" x14ac:dyDescent="0.2">
      <c r="A134">
        <v>8</v>
      </c>
      <c r="B134">
        <v>44.2</v>
      </c>
      <c r="C134">
        <v>74.290000000000006</v>
      </c>
      <c r="D134">
        <v>8.57</v>
      </c>
      <c r="E134" s="1">
        <v>2.2540972222222223E-2</v>
      </c>
      <c r="F134">
        <v>18</v>
      </c>
    </row>
    <row r="135" spans="1:6" x14ac:dyDescent="0.2">
      <c r="A135">
        <v>9</v>
      </c>
      <c r="B135">
        <v>30.1</v>
      </c>
      <c r="C135">
        <v>76.19</v>
      </c>
      <c r="D135">
        <v>4.76</v>
      </c>
      <c r="E135" s="1">
        <v>2.1928472222222221E-2</v>
      </c>
      <c r="F135">
        <v>27</v>
      </c>
    </row>
    <row r="136" spans="1:6" x14ac:dyDescent="0.2">
      <c r="A136">
        <v>10</v>
      </c>
      <c r="B136">
        <v>44.1</v>
      </c>
      <c r="C136">
        <v>85.33</v>
      </c>
      <c r="D136">
        <v>9.33</v>
      </c>
      <c r="E136" s="1">
        <v>2.2380092592592594E-2</v>
      </c>
      <c r="F136">
        <v>10</v>
      </c>
    </row>
    <row r="137" spans="1:6" x14ac:dyDescent="0.2">
      <c r="A137">
        <v>11</v>
      </c>
      <c r="B137">
        <v>31</v>
      </c>
      <c r="C137">
        <v>60.71</v>
      </c>
      <c r="D137">
        <v>23.21</v>
      </c>
      <c r="E137" s="1">
        <v>2.1698032407407405E-2</v>
      </c>
      <c r="F137">
        <v>18</v>
      </c>
    </row>
    <row r="138" spans="1:6" x14ac:dyDescent="0.2">
      <c r="A138">
        <v>12</v>
      </c>
      <c r="B138">
        <v>33.299999999999997</v>
      </c>
      <c r="C138">
        <v>63.79</v>
      </c>
      <c r="D138">
        <v>20.69</v>
      </c>
      <c r="E138" s="1">
        <v>2.1703125E-2</v>
      </c>
      <c r="F138">
        <v>22</v>
      </c>
    </row>
    <row r="139" spans="1:6" x14ac:dyDescent="0.2">
      <c r="A139">
        <v>13</v>
      </c>
      <c r="B139">
        <v>45.3</v>
      </c>
      <c r="C139">
        <v>65.08</v>
      </c>
      <c r="D139">
        <v>12.7</v>
      </c>
      <c r="E139" s="1">
        <v>1.9202314814814814E-2</v>
      </c>
      <c r="F139">
        <v>24</v>
      </c>
    </row>
    <row r="140" spans="1:6" x14ac:dyDescent="0.2">
      <c r="A140">
        <v>14</v>
      </c>
      <c r="B140">
        <v>40.799999999999997</v>
      </c>
      <c r="C140">
        <v>72.31</v>
      </c>
      <c r="D140">
        <v>15.38</v>
      </c>
      <c r="E140" s="1">
        <v>2.1063078703703705E-2</v>
      </c>
      <c r="F140">
        <v>21</v>
      </c>
    </row>
    <row r="141" spans="1:6" x14ac:dyDescent="0.2">
      <c r="A141">
        <v>15</v>
      </c>
      <c r="B141">
        <v>31.8</v>
      </c>
      <c r="C141">
        <v>68.33</v>
      </c>
      <c r="D141">
        <v>20</v>
      </c>
      <c r="E141" s="1">
        <v>2.3558564814814817E-2</v>
      </c>
      <c r="F141">
        <v>15</v>
      </c>
    </row>
    <row r="142" spans="1:6" x14ac:dyDescent="0.2">
      <c r="A142">
        <v>16</v>
      </c>
      <c r="B142">
        <v>39.5</v>
      </c>
      <c r="C142">
        <v>59.09</v>
      </c>
      <c r="D142">
        <v>28.79</v>
      </c>
      <c r="E142" s="1">
        <v>2.0816435185185184E-2</v>
      </c>
      <c r="F142">
        <v>29</v>
      </c>
    </row>
    <row r="143" spans="1:6" x14ac:dyDescent="0.2">
      <c r="A143">
        <v>17</v>
      </c>
      <c r="B143">
        <v>37.6</v>
      </c>
      <c r="C143">
        <v>67.209999999999994</v>
      </c>
      <c r="D143">
        <v>21.31</v>
      </c>
      <c r="E143" s="1">
        <v>1.9675925925925927E-2</v>
      </c>
      <c r="F143">
        <v>22</v>
      </c>
    </row>
    <row r="144" spans="1:6" x14ac:dyDescent="0.2">
      <c r="A144">
        <v>18</v>
      </c>
      <c r="B144">
        <v>49.3</v>
      </c>
      <c r="C144">
        <v>67.11</v>
      </c>
      <c r="D144">
        <v>17.11</v>
      </c>
      <c r="E144" s="1">
        <v>1.8437499999999999E-2</v>
      </c>
      <c r="F144">
        <v>15</v>
      </c>
    </row>
    <row r="145" spans="1:6" x14ac:dyDescent="0.2">
      <c r="A145">
        <v>19</v>
      </c>
      <c r="B145">
        <v>32</v>
      </c>
      <c r="C145">
        <v>61.82</v>
      </c>
      <c r="D145">
        <v>20</v>
      </c>
      <c r="E145" s="1">
        <v>2.3365625000000001E-2</v>
      </c>
      <c r="F145">
        <v>25</v>
      </c>
    </row>
    <row r="146" spans="1:6" x14ac:dyDescent="0.2">
      <c r="A146">
        <v>20</v>
      </c>
      <c r="B146">
        <v>29.3</v>
      </c>
      <c r="C146">
        <v>56.25</v>
      </c>
      <c r="D146">
        <v>29.17</v>
      </c>
      <c r="E146" s="1">
        <v>1.9231250000000002E-2</v>
      </c>
      <c r="F146">
        <v>24</v>
      </c>
    </row>
    <row r="147" spans="1:6" x14ac:dyDescent="0.2">
      <c r="A147">
        <v>21</v>
      </c>
      <c r="B147">
        <v>27.9</v>
      </c>
      <c r="C147">
        <v>50</v>
      </c>
      <c r="D147">
        <v>24.29</v>
      </c>
      <c r="E147" s="1">
        <v>2.3688773148148153E-2</v>
      </c>
      <c r="F147">
        <v>18</v>
      </c>
    </row>
    <row r="148" spans="1:6" x14ac:dyDescent="0.2">
      <c r="A148">
        <v>22</v>
      </c>
      <c r="B148">
        <v>33.6</v>
      </c>
      <c r="C148">
        <v>57.14</v>
      </c>
      <c r="D148">
        <v>23.21</v>
      </c>
      <c r="E148" s="1">
        <v>1.9502314814814816E-2</v>
      </c>
      <c r="F148">
        <v>24</v>
      </c>
    </row>
    <row r="149" spans="1:6" x14ac:dyDescent="0.2">
      <c r="A149">
        <v>23</v>
      </c>
      <c r="B149">
        <v>30.6</v>
      </c>
      <c r="C149">
        <v>57.69</v>
      </c>
      <c r="D149">
        <v>28.85</v>
      </c>
      <c r="E149" s="1">
        <v>2.0729166666666667E-2</v>
      </c>
      <c r="F149">
        <v>19</v>
      </c>
    </row>
    <row r="150" spans="1:6" x14ac:dyDescent="0.2">
      <c r="A150">
        <v>24</v>
      </c>
      <c r="B150">
        <v>29.2</v>
      </c>
      <c r="C150">
        <v>63.46</v>
      </c>
      <c r="D150">
        <v>23.08</v>
      </c>
      <c r="E150" s="1">
        <v>1.978726851851852E-2</v>
      </c>
      <c r="F150">
        <v>19</v>
      </c>
    </row>
    <row r="151" spans="1:6" x14ac:dyDescent="0.2">
      <c r="A151">
        <v>25</v>
      </c>
      <c r="B151">
        <v>33.299999999999997</v>
      </c>
      <c r="C151">
        <v>61.54</v>
      </c>
      <c r="D151">
        <v>17.309999999999999</v>
      </c>
      <c r="E151" s="1">
        <v>1.9431944444444443E-2</v>
      </c>
      <c r="F151">
        <v>21</v>
      </c>
    </row>
    <row r="152" spans="1:6" x14ac:dyDescent="0.2">
      <c r="A152">
        <v>1</v>
      </c>
      <c r="B152">
        <v>41.2</v>
      </c>
      <c r="C152">
        <v>66.67</v>
      </c>
      <c r="D152">
        <v>19.7</v>
      </c>
      <c r="E152" s="1">
        <v>2.0346412037037038E-2</v>
      </c>
      <c r="F152">
        <v>17</v>
      </c>
    </row>
    <row r="153" spans="1:6" x14ac:dyDescent="0.2">
      <c r="A153">
        <v>2</v>
      </c>
      <c r="B153">
        <v>41.6</v>
      </c>
      <c r="C153">
        <v>73.91</v>
      </c>
      <c r="D153">
        <v>14.49</v>
      </c>
      <c r="E153" s="1">
        <v>2.3412615740740741E-2</v>
      </c>
      <c r="F153">
        <v>13</v>
      </c>
    </row>
    <row r="154" spans="1:6" x14ac:dyDescent="0.2">
      <c r="A154">
        <v>3</v>
      </c>
      <c r="B154">
        <v>47</v>
      </c>
      <c r="C154">
        <v>64.709999999999994</v>
      </c>
      <c r="D154">
        <v>17.649999999999999</v>
      </c>
      <c r="E154" s="1">
        <v>1.9376736111111112E-2</v>
      </c>
      <c r="F154">
        <v>24</v>
      </c>
    </row>
    <row r="155" spans="1:6" x14ac:dyDescent="0.2">
      <c r="A155">
        <v>4</v>
      </c>
      <c r="B155">
        <v>40.299999999999997</v>
      </c>
      <c r="C155">
        <v>68.569999999999993</v>
      </c>
      <c r="D155">
        <v>20</v>
      </c>
      <c r="E155" s="1">
        <v>2.400023148148148E-2</v>
      </c>
      <c r="F155">
        <v>17</v>
      </c>
    </row>
    <row r="156" spans="1:6" x14ac:dyDescent="0.2">
      <c r="A156">
        <v>5</v>
      </c>
      <c r="B156">
        <v>38.799999999999997</v>
      </c>
      <c r="C156">
        <v>63.08</v>
      </c>
      <c r="D156">
        <v>24.62</v>
      </c>
      <c r="E156" s="1">
        <v>2.2345949074074074E-2</v>
      </c>
      <c r="F156">
        <v>15</v>
      </c>
    </row>
    <row r="157" spans="1:6" x14ac:dyDescent="0.2">
      <c r="A157">
        <v>6</v>
      </c>
      <c r="B157">
        <v>37.200000000000003</v>
      </c>
      <c r="C157">
        <v>57.14</v>
      </c>
      <c r="D157">
        <v>24.68</v>
      </c>
      <c r="E157" s="1">
        <v>2.1037500000000001E-2</v>
      </c>
      <c r="F157">
        <v>18</v>
      </c>
    </row>
    <row r="158" spans="1:6" x14ac:dyDescent="0.2">
      <c r="A158">
        <v>7</v>
      </c>
      <c r="B158">
        <v>41.5</v>
      </c>
      <c r="C158">
        <v>79.41</v>
      </c>
      <c r="D158">
        <v>11.76</v>
      </c>
      <c r="E158" s="1">
        <v>2.2884606481481481E-2</v>
      </c>
      <c r="F158">
        <v>9</v>
      </c>
    </row>
    <row r="159" spans="1:6" x14ac:dyDescent="0.2">
      <c r="A159">
        <v>8</v>
      </c>
      <c r="B159">
        <v>29.7</v>
      </c>
      <c r="C159">
        <v>52.94</v>
      </c>
      <c r="D159">
        <v>33.33</v>
      </c>
      <c r="E159" s="1">
        <v>2.0950810185185183E-2</v>
      </c>
      <c r="F159">
        <v>24</v>
      </c>
    </row>
    <row r="160" spans="1:6" x14ac:dyDescent="0.2">
      <c r="A160">
        <v>9</v>
      </c>
      <c r="B160">
        <v>45.1</v>
      </c>
      <c r="C160">
        <v>68.12</v>
      </c>
      <c r="D160">
        <v>15.94</v>
      </c>
      <c r="E160" s="1">
        <v>2.1270486111111112E-2</v>
      </c>
      <c r="F160">
        <v>19</v>
      </c>
    </row>
    <row r="161" spans="1:6" x14ac:dyDescent="0.2">
      <c r="A161">
        <v>10</v>
      </c>
      <c r="B161">
        <v>35.700000000000003</v>
      </c>
      <c r="C161">
        <v>63.16</v>
      </c>
      <c r="D161">
        <v>21.05</v>
      </c>
      <c r="E161" s="1">
        <v>2.1366666666666669E-2</v>
      </c>
      <c r="F161">
        <v>15</v>
      </c>
    </row>
    <row r="162" spans="1:6" x14ac:dyDescent="0.2">
      <c r="A162">
        <v>11</v>
      </c>
      <c r="B162">
        <v>41</v>
      </c>
      <c r="C162">
        <v>66.67</v>
      </c>
      <c r="D162">
        <v>14.67</v>
      </c>
      <c r="E162" s="1">
        <v>2.3831828703703702E-2</v>
      </c>
      <c r="F162">
        <v>19</v>
      </c>
    </row>
    <row r="163" spans="1:6" x14ac:dyDescent="0.2">
      <c r="A163">
        <v>12</v>
      </c>
      <c r="B163">
        <v>36.5</v>
      </c>
      <c r="C163">
        <v>69.39</v>
      </c>
      <c r="D163">
        <v>20.41</v>
      </c>
      <c r="E163" s="1">
        <v>2.0890277777777775E-2</v>
      </c>
      <c r="F163">
        <v>24</v>
      </c>
    </row>
    <row r="164" spans="1:6" x14ac:dyDescent="0.2">
      <c r="A164">
        <v>13</v>
      </c>
      <c r="B164">
        <v>44.2</v>
      </c>
      <c r="C164">
        <v>67.209999999999994</v>
      </c>
      <c r="D164">
        <v>27.87</v>
      </c>
      <c r="E164" s="1">
        <v>1.9225462962962962E-2</v>
      </c>
      <c r="F164">
        <v>22</v>
      </c>
    </row>
    <row r="165" spans="1:6" x14ac:dyDescent="0.2">
      <c r="A165">
        <v>14</v>
      </c>
      <c r="B165">
        <v>29.5</v>
      </c>
      <c r="C165">
        <v>68.09</v>
      </c>
      <c r="D165">
        <v>19.149999999999999</v>
      </c>
      <c r="E165" s="1">
        <v>2.1186805555555552E-2</v>
      </c>
      <c r="F165">
        <v>19</v>
      </c>
    </row>
    <row r="166" spans="1:6" x14ac:dyDescent="0.2">
      <c r="A166">
        <v>15</v>
      </c>
      <c r="B166">
        <v>29</v>
      </c>
      <c r="C166">
        <v>65.31</v>
      </c>
      <c r="D166">
        <v>14.29</v>
      </c>
      <c r="E166" s="1">
        <v>2.1899074074074074E-2</v>
      </c>
      <c r="F166">
        <v>21</v>
      </c>
    </row>
    <row r="167" spans="1:6" x14ac:dyDescent="0.2">
      <c r="A167">
        <v>16</v>
      </c>
      <c r="B167">
        <v>33.9</v>
      </c>
      <c r="C167">
        <v>64.52</v>
      </c>
      <c r="D167">
        <v>25.81</v>
      </c>
      <c r="E167" s="1">
        <v>2.2180092592592595E-2</v>
      </c>
      <c r="F167">
        <v>13</v>
      </c>
    </row>
    <row r="168" spans="1:6" x14ac:dyDescent="0.2">
      <c r="A168">
        <v>17</v>
      </c>
      <c r="B168">
        <v>31.4</v>
      </c>
      <c r="C168">
        <v>59.38</v>
      </c>
      <c r="D168">
        <v>26.56</v>
      </c>
      <c r="E168" s="1">
        <v>2.0725810185185187E-2</v>
      </c>
      <c r="F168">
        <v>23</v>
      </c>
    </row>
    <row r="169" spans="1:6" x14ac:dyDescent="0.2">
      <c r="A169">
        <v>18</v>
      </c>
      <c r="B169">
        <v>29.8</v>
      </c>
      <c r="C169">
        <v>59.26</v>
      </c>
      <c r="D169">
        <v>27.78</v>
      </c>
      <c r="E169" s="1">
        <v>2.0233217592592594E-2</v>
      </c>
      <c r="F169">
        <v>18</v>
      </c>
    </row>
    <row r="170" spans="1:6" x14ac:dyDescent="0.2">
      <c r="A170">
        <v>19</v>
      </c>
      <c r="B170">
        <v>31.2</v>
      </c>
      <c r="C170">
        <v>64.709999999999994</v>
      </c>
      <c r="D170">
        <v>23.53</v>
      </c>
      <c r="E170" s="1">
        <v>2.0594675925925926E-2</v>
      </c>
      <c r="F170">
        <v>30</v>
      </c>
    </row>
    <row r="171" spans="1:6" x14ac:dyDescent="0.2">
      <c r="A171">
        <v>20</v>
      </c>
      <c r="B171">
        <v>30.9</v>
      </c>
      <c r="C171">
        <v>65.849999999999994</v>
      </c>
      <c r="D171">
        <v>19.510000000000002</v>
      </c>
      <c r="E171" s="1">
        <v>2.1717939814814815E-2</v>
      </c>
      <c r="F171">
        <v>24</v>
      </c>
    </row>
    <row r="172" spans="1:6" x14ac:dyDescent="0.2">
      <c r="A172">
        <v>21</v>
      </c>
      <c r="B172">
        <v>32.1</v>
      </c>
      <c r="C172">
        <v>68.33</v>
      </c>
      <c r="D172">
        <v>15</v>
      </c>
      <c r="E172" s="1">
        <v>2.2750462962962962E-2</v>
      </c>
      <c r="F172">
        <v>19</v>
      </c>
    </row>
    <row r="173" spans="1:6" x14ac:dyDescent="0.2">
      <c r="A173">
        <v>22</v>
      </c>
      <c r="B173">
        <v>30.9</v>
      </c>
      <c r="C173">
        <v>67.86</v>
      </c>
      <c r="D173">
        <v>17.86</v>
      </c>
      <c r="E173" s="1">
        <v>2.1455902777777775E-2</v>
      </c>
      <c r="F173">
        <v>26</v>
      </c>
    </row>
    <row r="174" spans="1:6" x14ac:dyDescent="0.2">
      <c r="A174">
        <v>23</v>
      </c>
      <c r="B174">
        <v>32.200000000000003</v>
      </c>
      <c r="C174">
        <v>63.27</v>
      </c>
      <c r="D174">
        <v>22.45</v>
      </c>
      <c r="E174" s="1">
        <v>2.0124652777777779E-2</v>
      </c>
      <c r="F174">
        <v>14</v>
      </c>
    </row>
    <row r="175" spans="1:6" x14ac:dyDescent="0.2">
      <c r="A175">
        <v>24</v>
      </c>
      <c r="B175">
        <v>41.4</v>
      </c>
      <c r="C175">
        <v>65.709999999999994</v>
      </c>
      <c r="D175">
        <v>20</v>
      </c>
      <c r="E175" s="1">
        <v>2.1237500000000003E-2</v>
      </c>
      <c r="F175">
        <v>19</v>
      </c>
    </row>
    <row r="176" spans="1:6" x14ac:dyDescent="0.2">
      <c r="A176">
        <v>25</v>
      </c>
      <c r="B176">
        <v>31.8</v>
      </c>
      <c r="C176">
        <v>52.94</v>
      </c>
      <c r="D176">
        <v>23.53</v>
      </c>
      <c r="E176" s="1">
        <v>2.2260532407407409E-2</v>
      </c>
      <c r="F176">
        <v>22</v>
      </c>
    </row>
    <row r="177" spans="1:6" x14ac:dyDescent="0.2">
      <c r="A177">
        <v>1</v>
      </c>
      <c r="B177">
        <v>32.1</v>
      </c>
      <c r="C177">
        <v>47.46</v>
      </c>
      <c r="D177">
        <v>38.979999999999997</v>
      </c>
      <c r="E177" s="1">
        <v>2.327546296296296E-2</v>
      </c>
      <c r="F177">
        <v>12</v>
      </c>
    </row>
    <row r="178" spans="1:6" x14ac:dyDescent="0.2">
      <c r="A178">
        <v>2</v>
      </c>
      <c r="B178">
        <v>39.299999999999997</v>
      </c>
      <c r="C178">
        <v>68.97</v>
      </c>
      <c r="D178">
        <v>24.14</v>
      </c>
      <c r="E178" s="1">
        <v>2.122523148148148E-2</v>
      </c>
      <c r="F178">
        <v>28</v>
      </c>
    </row>
    <row r="179" spans="1:6" x14ac:dyDescent="0.2">
      <c r="A179">
        <v>3</v>
      </c>
      <c r="B179">
        <v>35.9</v>
      </c>
      <c r="C179">
        <v>50</v>
      </c>
      <c r="D179">
        <v>25</v>
      </c>
      <c r="E179" s="1">
        <v>2.144837962962963E-2</v>
      </c>
      <c r="F179">
        <v>16</v>
      </c>
    </row>
    <row r="180" spans="1:6" x14ac:dyDescent="0.2">
      <c r="A180">
        <v>4</v>
      </c>
      <c r="B180">
        <v>42.2</v>
      </c>
      <c r="C180">
        <v>62.03</v>
      </c>
      <c r="D180">
        <v>22.78</v>
      </c>
      <c r="E180" s="1">
        <v>2.1231018518518521E-2</v>
      </c>
      <c r="F180">
        <v>14</v>
      </c>
    </row>
    <row r="181" spans="1:6" x14ac:dyDescent="0.2">
      <c r="A181">
        <v>5</v>
      </c>
      <c r="B181">
        <v>29</v>
      </c>
      <c r="C181">
        <v>52.08</v>
      </c>
      <c r="D181">
        <v>27.08</v>
      </c>
      <c r="E181" s="1">
        <v>2.1871412037037036E-2</v>
      </c>
      <c r="F181">
        <v>18</v>
      </c>
    </row>
    <row r="182" spans="1:6" x14ac:dyDescent="0.2">
      <c r="A182">
        <v>6</v>
      </c>
      <c r="B182">
        <v>38.299999999999997</v>
      </c>
      <c r="C182">
        <v>65</v>
      </c>
      <c r="D182">
        <v>20</v>
      </c>
      <c r="E182" s="1">
        <v>2.2078009259259259E-2</v>
      </c>
      <c r="F182">
        <v>23</v>
      </c>
    </row>
    <row r="183" spans="1:6" x14ac:dyDescent="0.2">
      <c r="A183">
        <v>7</v>
      </c>
      <c r="B183">
        <v>23.2</v>
      </c>
      <c r="C183">
        <v>52.63</v>
      </c>
      <c r="D183">
        <v>31.58</v>
      </c>
      <c r="E183" s="1">
        <v>2.1510879629629626E-2</v>
      </c>
      <c r="F183">
        <v>28</v>
      </c>
    </row>
    <row r="184" spans="1:6" x14ac:dyDescent="0.2">
      <c r="A184">
        <v>8</v>
      </c>
      <c r="B184">
        <v>38.6</v>
      </c>
      <c r="C184">
        <v>72.41</v>
      </c>
      <c r="D184">
        <v>15.52</v>
      </c>
      <c r="E184" s="1">
        <v>1.7898842592592595E-2</v>
      </c>
      <c r="F184">
        <v>10</v>
      </c>
    </row>
    <row r="185" spans="1:6" x14ac:dyDescent="0.2">
      <c r="A185">
        <v>9</v>
      </c>
      <c r="B185">
        <v>28.8</v>
      </c>
      <c r="C185">
        <v>58.49</v>
      </c>
      <c r="D185">
        <v>26.42</v>
      </c>
      <c r="E185" s="1">
        <v>2.2646064814814817E-2</v>
      </c>
      <c r="F185">
        <v>17</v>
      </c>
    </row>
    <row r="186" spans="1:6" x14ac:dyDescent="0.2">
      <c r="A186">
        <v>10</v>
      </c>
      <c r="B186">
        <v>31.8</v>
      </c>
      <c r="C186">
        <v>60.38</v>
      </c>
      <c r="D186">
        <v>28.3</v>
      </c>
      <c r="E186" s="1">
        <v>2.1081712962962962E-2</v>
      </c>
      <c r="F186">
        <v>15</v>
      </c>
    </row>
    <row r="187" spans="1:6" x14ac:dyDescent="0.2">
      <c r="A187">
        <v>11</v>
      </c>
      <c r="B187">
        <v>36.1</v>
      </c>
      <c r="C187">
        <v>71.930000000000007</v>
      </c>
      <c r="D187">
        <v>21.05</v>
      </c>
      <c r="E187" s="1">
        <v>1.8268287037037038E-2</v>
      </c>
      <c r="F187">
        <v>23</v>
      </c>
    </row>
    <row r="188" spans="1:6" x14ac:dyDescent="0.2">
      <c r="A188">
        <v>12</v>
      </c>
      <c r="B188">
        <v>35.5</v>
      </c>
      <c r="C188">
        <v>77.05</v>
      </c>
      <c r="D188">
        <v>11.48</v>
      </c>
      <c r="E188" s="1">
        <v>2.1420949074074075E-2</v>
      </c>
      <c r="F188">
        <v>24</v>
      </c>
    </row>
    <row r="189" spans="1:6" x14ac:dyDescent="0.2">
      <c r="A189">
        <v>13</v>
      </c>
      <c r="B189">
        <v>33.799999999999997</v>
      </c>
      <c r="C189">
        <v>64.52</v>
      </c>
      <c r="D189">
        <v>16.13</v>
      </c>
      <c r="E189" s="1">
        <v>2.3485416666666672E-2</v>
      </c>
      <c r="F189">
        <v>18</v>
      </c>
    </row>
    <row r="190" spans="1:6" x14ac:dyDescent="0.2">
      <c r="A190">
        <v>14</v>
      </c>
      <c r="B190">
        <v>28</v>
      </c>
      <c r="C190">
        <v>70.180000000000007</v>
      </c>
      <c r="D190">
        <v>12.28</v>
      </c>
      <c r="E190" s="1">
        <v>2.3548263888888889E-2</v>
      </c>
      <c r="F190">
        <v>14</v>
      </c>
    </row>
    <row r="191" spans="1:6" x14ac:dyDescent="0.2">
      <c r="A191">
        <v>15</v>
      </c>
      <c r="B191">
        <v>32.1</v>
      </c>
      <c r="C191">
        <v>56.9</v>
      </c>
      <c r="D191">
        <v>34.479999999999997</v>
      </c>
      <c r="E191" s="1">
        <v>2.1485879629629629E-2</v>
      </c>
      <c r="F191">
        <v>14</v>
      </c>
    </row>
    <row r="192" spans="1:6" x14ac:dyDescent="0.2">
      <c r="A192">
        <v>16</v>
      </c>
      <c r="B192">
        <v>31.8</v>
      </c>
      <c r="C192">
        <v>72.41</v>
      </c>
      <c r="D192">
        <v>18.97</v>
      </c>
      <c r="E192" s="1">
        <v>2.3550578703703706E-2</v>
      </c>
      <c r="F192">
        <v>24</v>
      </c>
    </row>
    <row r="193" spans="1:6" x14ac:dyDescent="0.2">
      <c r="A193">
        <v>17</v>
      </c>
      <c r="B193">
        <v>24.8</v>
      </c>
      <c r="C193">
        <v>60.98</v>
      </c>
      <c r="D193">
        <v>26.83</v>
      </c>
      <c r="E193" s="1">
        <v>1.9326041666666665E-2</v>
      </c>
      <c r="F193">
        <v>14</v>
      </c>
    </row>
    <row r="194" spans="1:6" x14ac:dyDescent="0.2">
      <c r="A194">
        <v>18</v>
      </c>
      <c r="B194">
        <v>29.8</v>
      </c>
      <c r="C194">
        <v>53.06</v>
      </c>
      <c r="D194">
        <v>30.61</v>
      </c>
      <c r="E194" s="1">
        <v>2.1569675925925926E-2</v>
      </c>
      <c r="F194">
        <v>20</v>
      </c>
    </row>
    <row r="195" spans="1:6" x14ac:dyDescent="0.2">
      <c r="A195">
        <v>19</v>
      </c>
      <c r="B195">
        <v>30.3</v>
      </c>
      <c r="C195">
        <v>61.82</v>
      </c>
      <c r="D195">
        <v>18.18</v>
      </c>
      <c r="E195" s="1">
        <v>2.1011342592592592E-2</v>
      </c>
      <c r="F195">
        <v>21</v>
      </c>
    </row>
    <row r="196" spans="1:6" x14ac:dyDescent="0.2">
      <c r="A196">
        <v>20</v>
      </c>
      <c r="B196">
        <v>29.5</v>
      </c>
      <c r="C196">
        <v>62.79</v>
      </c>
      <c r="D196">
        <v>25.58</v>
      </c>
      <c r="E196" s="1">
        <v>2.0718518518518518E-2</v>
      </c>
      <c r="F196">
        <v>31</v>
      </c>
    </row>
    <row r="197" spans="1:6" x14ac:dyDescent="0.2">
      <c r="A197">
        <v>21</v>
      </c>
      <c r="B197">
        <v>37</v>
      </c>
      <c r="C197">
        <v>70.489999999999995</v>
      </c>
      <c r="D197">
        <v>14.75</v>
      </c>
      <c r="E197" s="1">
        <v>2.007662037037037E-2</v>
      </c>
      <c r="F197">
        <v>30</v>
      </c>
    </row>
    <row r="198" spans="1:6" x14ac:dyDescent="0.2">
      <c r="A198">
        <v>22</v>
      </c>
      <c r="B198">
        <v>26.5</v>
      </c>
      <c r="C198">
        <v>62.79</v>
      </c>
      <c r="D198">
        <v>23.26</v>
      </c>
      <c r="E198" s="1">
        <v>2.0258217592592592E-2</v>
      </c>
      <c r="F198">
        <v>22</v>
      </c>
    </row>
    <row r="199" spans="1:6" x14ac:dyDescent="0.2">
      <c r="A199">
        <v>23</v>
      </c>
      <c r="B199">
        <v>33.9</v>
      </c>
      <c r="C199">
        <v>72.73</v>
      </c>
      <c r="D199">
        <v>18.18</v>
      </c>
      <c r="E199" s="1">
        <v>2.1064814814814814E-2</v>
      </c>
      <c r="F199">
        <v>15</v>
      </c>
    </row>
    <row r="200" spans="1:6" x14ac:dyDescent="0.2">
      <c r="A200">
        <v>24</v>
      </c>
      <c r="B200">
        <v>31.1</v>
      </c>
      <c r="C200">
        <v>54.9</v>
      </c>
      <c r="D200">
        <v>25.49</v>
      </c>
      <c r="E200" s="1">
        <v>1.934189814814815E-2</v>
      </c>
      <c r="F200">
        <v>24</v>
      </c>
    </row>
    <row r="201" spans="1:6" x14ac:dyDescent="0.2">
      <c r="A201">
        <v>25</v>
      </c>
      <c r="B201">
        <v>26.2</v>
      </c>
      <c r="C201">
        <v>63.83</v>
      </c>
      <c r="D201">
        <v>14.89</v>
      </c>
      <c r="E201" s="1">
        <v>2.1011342592592592E-2</v>
      </c>
      <c r="F201">
        <v>25</v>
      </c>
    </row>
    <row r="202" spans="1:6" x14ac:dyDescent="0.2">
      <c r="A202">
        <v>1</v>
      </c>
      <c r="B202">
        <v>43.6</v>
      </c>
      <c r="C202">
        <v>75</v>
      </c>
      <c r="D202">
        <v>16.18</v>
      </c>
      <c r="E202" s="1">
        <v>2.090613425925926E-2</v>
      </c>
      <c r="F202">
        <v>13</v>
      </c>
    </row>
    <row r="203" spans="1:6" x14ac:dyDescent="0.2">
      <c r="A203">
        <v>2</v>
      </c>
      <c r="B203">
        <v>36.9</v>
      </c>
      <c r="C203">
        <v>71.430000000000007</v>
      </c>
      <c r="D203">
        <v>19.64</v>
      </c>
      <c r="E203" s="1">
        <v>2.2466203703703707E-2</v>
      </c>
      <c r="F203">
        <v>18</v>
      </c>
    </row>
    <row r="204" spans="1:6" x14ac:dyDescent="0.2">
      <c r="A204">
        <v>3</v>
      </c>
      <c r="B204">
        <v>37.5</v>
      </c>
      <c r="C204">
        <v>71.430000000000007</v>
      </c>
      <c r="D204">
        <v>12.7</v>
      </c>
      <c r="E204" s="1">
        <v>2.1695138888888885E-2</v>
      </c>
      <c r="F204">
        <v>22</v>
      </c>
    </row>
    <row r="205" spans="1:6" x14ac:dyDescent="0.2">
      <c r="A205">
        <v>4</v>
      </c>
      <c r="B205">
        <v>42.4</v>
      </c>
      <c r="C205">
        <v>76.47</v>
      </c>
      <c r="D205">
        <v>13.24</v>
      </c>
      <c r="E205" s="1">
        <v>2.2568518518518516E-2</v>
      </c>
      <c r="F205">
        <v>14</v>
      </c>
    </row>
    <row r="206" spans="1:6" x14ac:dyDescent="0.2">
      <c r="A206">
        <v>5</v>
      </c>
      <c r="B206">
        <v>51.1</v>
      </c>
      <c r="C206">
        <v>84.52</v>
      </c>
      <c r="D206">
        <v>8.33</v>
      </c>
      <c r="E206" s="1">
        <v>2.0436458333333334E-2</v>
      </c>
      <c r="F206">
        <v>11</v>
      </c>
    </row>
    <row r="207" spans="1:6" x14ac:dyDescent="0.2">
      <c r="A207">
        <v>6</v>
      </c>
      <c r="B207">
        <v>30.1</v>
      </c>
      <c r="C207">
        <v>57.41</v>
      </c>
      <c r="D207">
        <v>27.78</v>
      </c>
      <c r="E207" s="1">
        <v>2.2259374999999998E-2</v>
      </c>
      <c r="F207">
        <v>19</v>
      </c>
    </row>
    <row r="208" spans="1:6" x14ac:dyDescent="0.2">
      <c r="A208">
        <v>7</v>
      </c>
      <c r="B208">
        <v>33.6</v>
      </c>
      <c r="C208">
        <v>70.77</v>
      </c>
      <c r="D208">
        <v>18.46</v>
      </c>
      <c r="E208" s="1">
        <v>2.4254861111111109E-2</v>
      </c>
      <c r="F208">
        <v>15</v>
      </c>
    </row>
    <row r="209" spans="1:6" x14ac:dyDescent="0.2">
      <c r="A209">
        <v>8</v>
      </c>
      <c r="B209">
        <v>38.9</v>
      </c>
      <c r="C209">
        <v>66.67</v>
      </c>
      <c r="D209">
        <v>25.76</v>
      </c>
      <c r="E209" s="1">
        <v>2.203263888888889E-2</v>
      </c>
      <c r="F209">
        <v>16</v>
      </c>
    </row>
    <row r="210" spans="1:6" x14ac:dyDescent="0.2">
      <c r="A210">
        <v>9</v>
      </c>
      <c r="B210">
        <v>27.6</v>
      </c>
      <c r="C210">
        <v>60.98</v>
      </c>
      <c r="D210">
        <v>34.15</v>
      </c>
      <c r="E210" s="1">
        <v>2.2010300925925926E-2</v>
      </c>
      <c r="F210">
        <v>13</v>
      </c>
    </row>
    <row r="211" spans="1:6" x14ac:dyDescent="0.2">
      <c r="A211">
        <v>10</v>
      </c>
      <c r="B211">
        <v>41.9</v>
      </c>
      <c r="C211">
        <v>61.76</v>
      </c>
      <c r="D211">
        <v>20.59</v>
      </c>
      <c r="E211" s="1">
        <v>1.7488425925925925E-2</v>
      </c>
      <c r="F211">
        <v>26</v>
      </c>
    </row>
    <row r="212" spans="1:6" x14ac:dyDescent="0.2">
      <c r="A212">
        <v>11</v>
      </c>
      <c r="B212">
        <v>37.6</v>
      </c>
      <c r="C212">
        <v>66.67</v>
      </c>
      <c r="D212">
        <v>16.670000000000002</v>
      </c>
      <c r="E212" s="1">
        <v>1.9999074074074075E-2</v>
      </c>
      <c r="F212">
        <v>26</v>
      </c>
    </row>
    <row r="213" spans="1:6" x14ac:dyDescent="0.2">
      <c r="A213">
        <v>12</v>
      </c>
      <c r="B213">
        <v>43.8</v>
      </c>
      <c r="C213">
        <v>77.33</v>
      </c>
      <c r="D213">
        <v>9.33</v>
      </c>
      <c r="E213" s="1">
        <v>2.1025694444444448E-2</v>
      </c>
      <c r="F213">
        <v>21</v>
      </c>
    </row>
    <row r="214" spans="1:6" x14ac:dyDescent="0.2">
      <c r="A214">
        <v>13</v>
      </c>
      <c r="B214">
        <v>31.5</v>
      </c>
      <c r="C214">
        <v>65.31</v>
      </c>
      <c r="D214">
        <v>18.37</v>
      </c>
      <c r="E214" s="1">
        <v>2.1493981481481485E-2</v>
      </c>
      <c r="F214">
        <v>19</v>
      </c>
    </row>
    <row r="215" spans="1:6" x14ac:dyDescent="0.2">
      <c r="A215">
        <v>14</v>
      </c>
      <c r="B215">
        <v>32.1</v>
      </c>
      <c r="C215">
        <v>55.36</v>
      </c>
      <c r="D215">
        <v>25</v>
      </c>
      <c r="E215" s="1">
        <v>2.0990972222222223E-2</v>
      </c>
      <c r="F215">
        <v>25</v>
      </c>
    </row>
    <row r="216" spans="1:6" x14ac:dyDescent="0.2">
      <c r="A216">
        <v>15</v>
      </c>
      <c r="B216">
        <v>22.1</v>
      </c>
      <c r="C216">
        <v>46.55</v>
      </c>
      <c r="D216">
        <v>27.59</v>
      </c>
      <c r="E216" s="1">
        <v>2.2919097222222226E-2</v>
      </c>
      <c r="F216">
        <v>20</v>
      </c>
    </row>
    <row r="217" spans="1:6" x14ac:dyDescent="0.2">
      <c r="A217">
        <v>16</v>
      </c>
      <c r="B217">
        <v>40.799999999999997</v>
      </c>
      <c r="C217">
        <v>68.42</v>
      </c>
      <c r="D217">
        <v>21.05</v>
      </c>
      <c r="E217" s="1">
        <v>2.162928240740741E-2</v>
      </c>
      <c r="F217">
        <v>20</v>
      </c>
    </row>
    <row r="218" spans="1:6" x14ac:dyDescent="0.2">
      <c r="A218">
        <v>17</v>
      </c>
      <c r="B218">
        <v>25.9</v>
      </c>
      <c r="C218">
        <v>64</v>
      </c>
      <c r="D218">
        <v>18</v>
      </c>
      <c r="E218" s="1">
        <v>2.0777083333333331E-2</v>
      </c>
      <c r="F218">
        <v>30</v>
      </c>
    </row>
    <row r="219" spans="1:6" x14ac:dyDescent="0.2">
      <c r="A219">
        <v>18</v>
      </c>
      <c r="B219">
        <v>30.5</v>
      </c>
      <c r="C219">
        <v>60.66</v>
      </c>
      <c r="D219">
        <v>21.31</v>
      </c>
      <c r="E219" s="1">
        <v>2.2123379629629628E-2</v>
      </c>
      <c r="F219">
        <v>21</v>
      </c>
    </row>
    <row r="220" spans="1:6" x14ac:dyDescent="0.2">
      <c r="A220">
        <v>19</v>
      </c>
      <c r="B220">
        <v>42.2</v>
      </c>
      <c r="C220">
        <v>71.209999999999994</v>
      </c>
      <c r="D220">
        <v>18.18</v>
      </c>
      <c r="E220" s="1">
        <v>1.7929861111111108E-2</v>
      </c>
      <c r="F220">
        <v>26</v>
      </c>
    </row>
    <row r="221" spans="1:6" x14ac:dyDescent="0.2">
      <c r="A221">
        <v>20</v>
      </c>
      <c r="B221">
        <v>30.3</v>
      </c>
      <c r="C221">
        <v>56.14</v>
      </c>
      <c r="D221">
        <v>28.07</v>
      </c>
      <c r="E221" s="1">
        <v>2.1884837962962964E-2</v>
      </c>
      <c r="F221">
        <v>24</v>
      </c>
    </row>
    <row r="222" spans="1:6" x14ac:dyDescent="0.2">
      <c r="A222">
        <v>21</v>
      </c>
      <c r="B222">
        <v>33.4</v>
      </c>
      <c r="C222">
        <v>60.38</v>
      </c>
      <c r="D222">
        <v>30.19</v>
      </c>
      <c r="E222" s="1">
        <v>2.1940856481481485E-2</v>
      </c>
      <c r="F222">
        <v>26</v>
      </c>
    </row>
    <row r="223" spans="1:6" x14ac:dyDescent="0.2">
      <c r="A223">
        <v>22</v>
      </c>
      <c r="B223">
        <v>24.4</v>
      </c>
      <c r="C223">
        <v>46.15</v>
      </c>
      <c r="D223">
        <v>30.77</v>
      </c>
      <c r="E223" s="1">
        <v>2.1188541666666668E-2</v>
      </c>
      <c r="F223">
        <v>27</v>
      </c>
    </row>
    <row r="224" spans="1:6" x14ac:dyDescent="0.2">
      <c r="A224">
        <v>23</v>
      </c>
      <c r="B224">
        <v>24.5</v>
      </c>
      <c r="C224">
        <v>46.51</v>
      </c>
      <c r="D224">
        <v>23.26</v>
      </c>
      <c r="E224" s="1">
        <v>2.0159375E-2</v>
      </c>
      <c r="F224">
        <v>16</v>
      </c>
    </row>
    <row r="225" spans="1:6" x14ac:dyDescent="0.2">
      <c r="A225">
        <v>24</v>
      </c>
      <c r="B225">
        <v>25.1</v>
      </c>
      <c r="C225">
        <v>54.72</v>
      </c>
      <c r="D225">
        <v>30.19</v>
      </c>
      <c r="E225" s="1">
        <v>2.154375E-2</v>
      </c>
      <c r="F225">
        <v>22</v>
      </c>
    </row>
    <row r="226" spans="1:6" x14ac:dyDescent="0.2">
      <c r="A226">
        <v>25</v>
      </c>
      <c r="B226">
        <v>34.200000000000003</v>
      </c>
      <c r="C226">
        <v>70.77</v>
      </c>
      <c r="D226">
        <v>10.77</v>
      </c>
      <c r="E226" s="1">
        <v>2.1049652777777775E-2</v>
      </c>
      <c r="F226">
        <v>28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22"/>
  <sheetViews>
    <sheetView showGridLines="0" showRowColHeaders="0" workbookViewId="0">
      <selection activeCell="A18" sqref="A18:A22"/>
    </sheetView>
  </sheetViews>
  <sheetFormatPr baseColWidth="10" defaultColWidth="8.83203125" defaultRowHeight="15" x14ac:dyDescent="0.2"/>
  <cols>
    <col min="1" max="1" width="18" bestFit="1" customWidth="1"/>
    <col min="2" max="2" width="12.6640625" bestFit="1" customWidth="1"/>
    <col min="3" max="3" width="14.5" bestFit="1" customWidth="1"/>
    <col min="4" max="4" width="12.6640625" bestFit="1" customWidth="1"/>
    <col min="5" max="5" width="12" bestFit="1" customWidth="1"/>
    <col min="6" max="6" width="13.5" bestFit="1" customWidth="1"/>
    <col min="7" max="9" width="12.6640625" bestFit="1" customWidth="1"/>
  </cols>
  <sheetData>
    <row r="1" spans="1:9" ht="26" x14ac:dyDescent="0.3">
      <c r="A1" s="43" t="s">
        <v>177</v>
      </c>
    </row>
    <row r="2" spans="1:9" ht="16" thickBot="1" x14ac:dyDescent="0.25"/>
    <row r="3" spans="1:9" x14ac:dyDescent="0.2">
      <c r="A3" s="22" t="s">
        <v>148</v>
      </c>
      <c r="B3" s="22"/>
    </row>
    <row r="4" spans="1:9" x14ac:dyDescent="0.2">
      <c r="A4" s="19" t="s">
        <v>149</v>
      </c>
      <c r="B4" s="19">
        <v>0.50650093732921597</v>
      </c>
    </row>
    <row r="5" spans="1:9" x14ac:dyDescent="0.2">
      <c r="A5" s="19" t="s">
        <v>150</v>
      </c>
      <c r="B5" s="19">
        <v>0.25654319951537441</v>
      </c>
    </row>
    <row r="6" spans="1:9" x14ac:dyDescent="0.2">
      <c r="A6" s="19" t="s">
        <v>151</v>
      </c>
      <c r="B6" s="19">
        <v>0.2395692999609309</v>
      </c>
    </row>
    <row r="7" spans="1:9" x14ac:dyDescent="0.2">
      <c r="A7" s="19" t="s">
        <v>152</v>
      </c>
      <c r="B7" s="19">
        <v>6.3022952134438928</v>
      </c>
    </row>
    <row r="8" spans="1:9" ht="16" thickBot="1" x14ac:dyDescent="0.25">
      <c r="A8" s="20" t="s">
        <v>153</v>
      </c>
      <c r="B8" s="20">
        <v>225</v>
      </c>
    </row>
    <row r="10" spans="1:9" ht="16" thickBot="1" x14ac:dyDescent="0.25">
      <c r="A10" t="s">
        <v>154</v>
      </c>
    </row>
    <row r="11" spans="1:9" x14ac:dyDescent="0.2">
      <c r="A11" s="21"/>
      <c r="B11" s="21" t="s">
        <v>159</v>
      </c>
      <c r="C11" s="21" t="s">
        <v>160</v>
      </c>
      <c r="D11" s="21" t="s">
        <v>161</v>
      </c>
      <c r="E11" s="21" t="s">
        <v>162</v>
      </c>
      <c r="F11" s="21" t="s">
        <v>163</v>
      </c>
    </row>
    <row r="12" spans="1:9" x14ac:dyDescent="0.2">
      <c r="A12" s="19" t="s">
        <v>155</v>
      </c>
      <c r="B12" s="19">
        <v>5</v>
      </c>
      <c r="C12" s="19">
        <v>3001.5554343298809</v>
      </c>
      <c r="D12" s="19">
        <v>600.31108686597622</v>
      </c>
      <c r="E12" s="19">
        <v>15.113981244705515</v>
      </c>
      <c r="F12" s="19">
        <v>9.4643092018749143E-13</v>
      </c>
    </row>
    <row r="13" spans="1:9" x14ac:dyDescent="0.2">
      <c r="A13" s="19" t="s">
        <v>156</v>
      </c>
      <c r="B13" s="19">
        <v>219</v>
      </c>
      <c r="C13" s="19">
        <v>8698.4445656701191</v>
      </c>
      <c r="D13" s="19">
        <v>39.718924957397803</v>
      </c>
      <c r="E13" s="19"/>
      <c r="F13" s="19"/>
    </row>
    <row r="14" spans="1:9" ht="16" thickBot="1" x14ac:dyDescent="0.25">
      <c r="A14" s="20" t="s">
        <v>157</v>
      </c>
      <c r="B14" s="20">
        <v>224</v>
      </c>
      <c r="C14" s="20">
        <v>11700</v>
      </c>
      <c r="D14" s="20"/>
      <c r="E14" s="20"/>
      <c r="F14" s="20"/>
    </row>
    <row r="15" spans="1:9" ht="16" thickBot="1" x14ac:dyDescent="0.25"/>
    <row r="16" spans="1:9" x14ac:dyDescent="0.2">
      <c r="A16" s="21"/>
      <c r="B16" s="21" t="s">
        <v>164</v>
      </c>
      <c r="C16" s="21" t="s">
        <v>152</v>
      </c>
      <c r="D16" s="21" t="s">
        <v>165</v>
      </c>
      <c r="E16" s="21" t="s">
        <v>166</v>
      </c>
      <c r="F16" s="21" t="s">
        <v>167</v>
      </c>
      <c r="G16" s="21" t="s">
        <v>168</v>
      </c>
      <c r="H16" s="21" t="s">
        <v>169</v>
      </c>
      <c r="I16" s="21" t="s">
        <v>170</v>
      </c>
    </row>
    <row r="17" spans="1:9" x14ac:dyDescent="0.2">
      <c r="A17" s="19" t="s">
        <v>158</v>
      </c>
      <c r="B17" s="19">
        <v>60.807029640267302</v>
      </c>
      <c r="C17" s="19">
        <v>10.536873881982537</v>
      </c>
      <c r="D17" s="19">
        <v>5.7708795152463495</v>
      </c>
      <c r="E17" s="19">
        <v>2.6728352161049173E-8</v>
      </c>
      <c r="F17" s="19">
        <v>40.040375196879531</v>
      </c>
      <c r="G17" s="19">
        <v>81.573684083655081</v>
      </c>
      <c r="H17" s="19">
        <v>40.040375196879531</v>
      </c>
      <c r="I17" s="19">
        <v>81.573684083655081</v>
      </c>
    </row>
    <row r="18" spans="1:9" x14ac:dyDescent="0.2">
      <c r="A18" s="19" t="s">
        <v>130</v>
      </c>
      <c r="B18" s="19">
        <v>-0.5757001134188412</v>
      </c>
      <c r="C18" s="19">
        <v>8.8684428475008278E-2</v>
      </c>
      <c r="D18" s="19">
        <v>-6.4915580256693701</v>
      </c>
      <c r="E18" s="32">
        <v>5.6048912227026647E-10</v>
      </c>
      <c r="F18" s="19">
        <v>-0.75048429526228189</v>
      </c>
      <c r="G18" s="19">
        <v>-0.40091593157540056</v>
      </c>
      <c r="H18" s="19">
        <v>-0.75048429526228189</v>
      </c>
      <c r="I18" s="19">
        <v>-0.40091593157540056</v>
      </c>
    </row>
    <row r="19" spans="1:9" x14ac:dyDescent="0.2">
      <c r="A19" s="19" t="s">
        <v>146</v>
      </c>
      <c r="B19" s="19">
        <v>-1.0527694711617099E-2</v>
      </c>
      <c r="C19" s="19">
        <v>9.3488769605850994E-2</v>
      </c>
      <c r="D19" s="19">
        <v>-0.1126091909862746</v>
      </c>
      <c r="E19" s="19">
        <v>0.91044354995638777</v>
      </c>
      <c r="F19" s="19">
        <v>-0.19478053805844411</v>
      </c>
      <c r="G19" s="19">
        <v>0.17372514863520991</v>
      </c>
      <c r="H19" s="19">
        <v>-0.19478053805844411</v>
      </c>
      <c r="I19" s="19">
        <v>0.17372514863520991</v>
      </c>
    </row>
    <row r="20" spans="1:9" x14ac:dyDescent="0.2">
      <c r="A20" s="19" t="s">
        <v>147</v>
      </c>
      <c r="B20" s="19">
        <v>-0.13324109211475688</v>
      </c>
      <c r="C20" s="19">
        <v>9.9608772541602733E-2</v>
      </c>
      <c r="D20" s="19">
        <v>-1.3376441523672749</v>
      </c>
      <c r="E20" s="19">
        <v>0.18239992667678442</v>
      </c>
      <c r="F20" s="19">
        <v>-0.32955557609454195</v>
      </c>
      <c r="G20" s="19">
        <v>6.3073391865028194E-2</v>
      </c>
      <c r="H20" s="19">
        <v>-0.32955557609454195</v>
      </c>
      <c r="I20" s="19">
        <v>6.3073391865028194E-2</v>
      </c>
    </row>
    <row r="21" spans="1:9" x14ac:dyDescent="0.2">
      <c r="A21" s="19" t="s">
        <v>135</v>
      </c>
      <c r="B21" s="19">
        <v>-1286.1779027894627</v>
      </c>
      <c r="C21" s="19">
        <v>310.00790461747584</v>
      </c>
      <c r="D21" s="19">
        <v>-4.1488551860524332</v>
      </c>
      <c r="E21" s="33">
        <v>4.7823954251206542E-5</v>
      </c>
      <c r="F21" s="19">
        <v>-1897.1586454666776</v>
      </c>
      <c r="G21" s="19">
        <v>-675.19716011224784</v>
      </c>
      <c r="H21" s="19">
        <v>-1897.1586454666776</v>
      </c>
      <c r="I21" s="19">
        <v>-675.19716011224784</v>
      </c>
    </row>
    <row r="22" spans="1:9" ht="16" thickBot="1" x14ac:dyDescent="0.25">
      <c r="A22" s="20" t="s">
        <v>136</v>
      </c>
      <c r="B22" s="20">
        <v>0.18142642962667949</v>
      </c>
      <c r="C22" s="20">
        <v>8.842343609971938E-2</v>
      </c>
      <c r="D22" s="20">
        <v>2.0517912176821103</v>
      </c>
      <c r="E22" s="34">
        <v>4.1379605598650303E-2</v>
      </c>
      <c r="F22" s="20">
        <v>7.1566260068646748E-3</v>
      </c>
      <c r="G22" s="20">
        <v>0.3556962332464943</v>
      </c>
      <c r="H22" s="20">
        <v>7.1566260068646748E-3</v>
      </c>
      <c r="I22" s="20">
        <v>0.3556962332464943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226"/>
  <sheetViews>
    <sheetView showGridLines="0" workbookViewId="0">
      <selection activeCell="E14" sqref="E14"/>
    </sheetView>
  </sheetViews>
  <sheetFormatPr baseColWidth="10" defaultColWidth="8.83203125" defaultRowHeight="15" x14ac:dyDescent="0.2"/>
  <cols>
    <col min="1" max="1" width="8.5" bestFit="1" customWidth="1"/>
    <col min="2" max="2" width="7.6640625" bestFit="1" customWidth="1"/>
    <col min="3" max="3" width="10" bestFit="1" customWidth="1"/>
    <col min="4" max="4" width="25" bestFit="1" customWidth="1"/>
    <col min="5" max="5" width="23.6640625" bestFit="1" customWidth="1"/>
    <col min="6" max="6" width="15" bestFit="1" customWidth="1"/>
    <col min="7" max="7" width="17.1640625" bestFit="1" customWidth="1"/>
  </cols>
  <sheetData>
    <row r="1" spans="1:7" x14ac:dyDescent="0.2">
      <c r="A1" s="25" t="s">
        <v>137</v>
      </c>
      <c r="B1" s="26" t="s">
        <v>130</v>
      </c>
      <c r="C1" s="26" t="s">
        <v>135</v>
      </c>
      <c r="D1" s="40" t="s">
        <v>184</v>
      </c>
      <c r="E1" s="40" t="s">
        <v>182</v>
      </c>
      <c r="F1" s="37" t="s">
        <v>185</v>
      </c>
      <c r="G1" s="26" t="s">
        <v>136</v>
      </c>
    </row>
    <row r="2" spans="1:7" x14ac:dyDescent="0.2">
      <c r="A2" s="44">
        <v>1</v>
      </c>
      <c r="B2" s="7">
        <v>39.200000000000003</v>
      </c>
      <c r="C2" s="38">
        <v>2.1250810185185185E-2</v>
      </c>
      <c r="D2" s="7">
        <v>57.89</v>
      </c>
      <c r="E2" s="7">
        <v>18</v>
      </c>
      <c r="F2" s="8">
        <v>1</v>
      </c>
      <c r="G2" s="7">
        <v>28</v>
      </c>
    </row>
    <row r="3" spans="1:7" x14ac:dyDescent="0.2">
      <c r="A3" s="45">
        <v>2</v>
      </c>
      <c r="B3" s="10">
        <v>38.799999999999997</v>
      </c>
      <c r="C3" s="39">
        <v>2.1480671296296296E-2</v>
      </c>
      <c r="D3" s="10">
        <v>48</v>
      </c>
      <c r="E3" s="10">
        <v>13</v>
      </c>
      <c r="F3" s="11">
        <v>1</v>
      </c>
      <c r="G3" s="10">
        <v>19</v>
      </c>
    </row>
    <row r="4" spans="1:7" x14ac:dyDescent="0.2">
      <c r="A4" s="44">
        <v>3</v>
      </c>
      <c r="B4" s="7">
        <v>34.4</v>
      </c>
      <c r="C4" s="38">
        <v>2.2155439814814815E-2</v>
      </c>
      <c r="D4" s="7">
        <v>65.790000000000006</v>
      </c>
      <c r="E4" s="7">
        <v>24.2</v>
      </c>
      <c r="F4" s="8">
        <v>1</v>
      </c>
      <c r="G4" s="7">
        <v>20</v>
      </c>
    </row>
    <row r="5" spans="1:7" x14ac:dyDescent="0.2">
      <c r="A5" s="45">
        <v>4</v>
      </c>
      <c r="B5" s="10">
        <v>41.8</v>
      </c>
      <c r="C5" s="39">
        <v>2.1564120370370369E-2</v>
      </c>
      <c r="D5" s="10">
        <v>54.55</v>
      </c>
      <c r="E5" s="10">
        <v>17.7</v>
      </c>
      <c r="F5" s="11">
        <v>1</v>
      </c>
      <c r="G5" s="10">
        <v>15</v>
      </c>
    </row>
    <row r="6" spans="1:7" x14ac:dyDescent="0.2">
      <c r="A6" s="44">
        <v>5</v>
      </c>
      <c r="B6" s="7">
        <v>43.9</v>
      </c>
      <c r="C6" s="38">
        <v>2.2409143518518516E-2</v>
      </c>
      <c r="D6" s="7">
        <v>47.83</v>
      </c>
      <c r="E6" s="7">
        <v>28.8</v>
      </c>
      <c r="F6" s="8">
        <v>1</v>
      </c>
      <c r="G6" s="7">
        <v>17</v>
      </c>
    </row>
    <row r="7" spans="1:7" x14ac:dyDescent="0.2">
      <c r="A7" s="45">
        <v>6</v>
      </c>
      <c r="B7" s="10">
        <v>39.4</v>
      </c>
      <c r="C7" s="39">
        <v>2.3036805555555557E-2</v>
      </c>
      <c r="D7" s="10">
        <v>37.5</v>
      </c>
      <c r="E7" s="10">
        <v>15.5</v>
      </c>
      <c r="F7" s="11">
        <v>1</v>
      </c>
      <c r="G7" s="10">
        <v>12</v>
      </c>
    </row>
    <row r="8" spans="1:7" x14ac:dyDescent="0.2">
      <c r="A8" s="44">
        <v>7</v>
      </c>
      <c r="B8" s="7">
        <v>37.6</v>
      </c>
      <c r="C8" s="38">
        <v>1.9260069444444444E-2</v>
      </c>
      <c r="D8" s="7">
        <v>60.42</v>
      </c>
      <c r="E8" s="7">
        <v>25.4</v>
      </c>
      <c r="F8" s="8">
        <v>1</v>
      </c>
      <c r="G8" s="7">
        <v>20</v>
      </c>
    </row>
    <row r="9" spans="1:7" x14ac:dyDescent="0.2">
      <c r="A9" s="45">
        <v>8</v>
      </c>
      <c r="B9" s="10">
        <v>35.1</v>
      </c>
      <c r="C9" s="39">
        <v>2.2863194444444446E-2</v>
      </c>
      <c r="D9" s="10">
        <v>57.78</v>
      </c>
      <c r="E9" s="10">
        <v>25</v>
      </c>
      <c r="F9" s="11">
        <v>1</v>
      </c>
      <c r="G9" s="10">
        <v>20</v>
      </c>
    </row>
    <row r="10" spans="1:7" x14ac:dyDescent="0.2">
      <c r="A10" s="44">
        <v>9</v>
      </c>
      <c r="B10" s="7">
        <v>28.4</v>
      </c>
      <c r="C10" s="38">
        <v>2.4284837962962963E-2</v>
      </c>
      <c r="D10" s="7">
        <v>44.74</v>
      </c>
      <c r="E10" s="7">
        <v>15.6</v>
      </c>
      <c r="F10" s="8">
        <v>1</v>
      </c>
      <c r="G10" s="7">
        <v>16</v>
      </c>
    </row>
    <row r="11" spans="1:7" x14ac:dyDescent="0.2">
      <c r="A11" s="45">
        <v>10</v>
      </c>
      <c r="B11" s="10">
        <v>40.299999999999997</v>
      </c>
      <c r="C11" s="39">
        <v>2.2950462962962964E-2</v>
      </c>
      <c r="D11" s="10">
        <v>50</v>
      </c>
      <c r="E11" s="10">
        <v>14.1</v>
      </c>
      <c r="F11" s="11">
        <v>1</v>
      </c>
      <c r="G11" s="10">
        <v>12</v>
      </c>
    </row>
    <row r="12" spans="1:7" x14ac:dyDescent="0.2">
      <c r="A12" s="44">
        <v>11</v>
      </c>
      <c r="B12" s="7">
        <v>38.6</v>
      </c>
      <c r="C12" s="38">
        <v>2.0032060185185184E-2</v>
      </c>
      <c r="D12" s="7">
        <v>58.33</v>
      </c>
      <c r="E12" s="7">
        <v>26.5</v>
      </c>
      <c r="F12" s="8">
        <v>1</v>
      </c>
      <c r="G12" s="7">
        <v>14</v>
      </c>
    </row>
    <row r="13" spans="1:7" x14ac:dyDescent="0.2">
      <c r="A13" s="45">
        <v>12</v>
      </c>
      <c r="B13" s="10">
        <v>26.3</v>
      </c>
      <c r="C13" s="39">
        <v>2.2764467592592593E-2</v>
      </c>
      <c r="D13" s="10">
        <v>57.78</v>
      </c>
      <c r="E13" s="10">
        <v>20.399999999999999</v>
      </c>
      <c r="F13" s="11">
        <v>1</v>
      </c>
      <c r="G13" s="10">
        <v>18</v>
      </c>
    </row>
    <row r="14" spans="1:7" x14ac:dyDescent="0.2">
      <c r="A14" s="44">
        <v>13</v>
      </c>
      <c r="B14" s="7">
        <v>28.3</v>
      </c>
      <c r="C14" s="38">
        <v>2.161747685185185E-2</v>
      </c>
      <c r="D14" s="7">
        <v>24.24</v>
      </c>
      <c r="E14" s="7">
        <v>15.8</v>
      </c>
      <c r="F14" s="8">
        <v>1</v>
      </c>
      <c r="G14" s="7">
        <v>17</v>
      </c>
    </row>
    <row r="15" spans="1:7" x14ac:dyDescent="0.2">
      <c r="A15" s="45">
        <v>14</v>
      </c>
      <c r="B15" s="10">
        <v>23.9</v>
      </c>
      <c r="C15" s="39">
        <v>2.1679976851851853E-2</v>
      </c>
      <c r="D15" s="10">
        <v>46.15</v>
      </c>
      <c r="E15" s="10">
        <v>16.8</v>
      </c>
      <c r="F15" s="11">
        <v>1</v>
      </c>
      <c r="G15" s="10">
        <v>22</v>
      </c>
    </row>
    <row r="16" spans="1:7" x14ac:dyDescent="0.2">
      <c r="A16" s="44">
        <v>15</v>
      </c>
      <c r="B16" s="7">
        <v>41.6</v>
      </c>
      <c r="C16" s="38">
        <v>2.3640856481481481E-2</v>
      </c>
      <c r="D16" s="7">
        <v>58.33</v>
      </c>
      <c r="E16" s="7">
        <v>19.8</v>
      </c>
      <c r="F16" s="8">
        <v>0</v>
      </c>
      <c r="G16" s="7">
        <v>8</v>
      </c>
    </row>
    <row r="17" spans="1:7" x14ac:dyDescent="0.2">
      <c r="A17" s="45">
        <v>16</v>
      </c>
      <c r="B17" s="10">
        <v>35</v>
      </c>
      <c r="C17" s="39">
        <v>2.1705555555555558E-2</v>
      </c>
      <c r="D17" s="10">
        <v>60.98</v>
      </c>
      <c r="E17" s="10">
        <v>22.8</v>
      </c>
      <c r="F17" s="11">
        <v>1</v>
      </c>
      <c r="G17" s="10">
        <v>26</v>
      </c>
    </row>
    <row r="18" spans="1:7" x14ac:dyDescent="0.2">
      <c r="A18" s="44">
        <v>17</v>
      </c>
      <c r="B18" s="7">
        <v>31.1</v>
      </c>
      <c r="C18" s="38">
        <v>2.1422800925925925E-2</v>
      </c>
      <c r="D18" s="7">
        <v>51.06</v>
      </c>
      <c r="E18" s="7">
        <v>21.7</v>
      </c>
      <c r="F18" s="8">
        <v>1</v>
      </c>
      <c r="G18" s="7">
        <v>20</v>
      </c>
    </row>
    <row r="19" spans="1:7" x14ac:dyDescent="0.2">
      <c r="A19" s="45">
        <v>18</v>
      </c>
      <c r="B19" s="10">
        <v>31.2</v>
      </c>
      <c r="C19" s="39">
        <v>2.0224305555555554E-2</v>
      </c>
      <c r="D19" s="10">
        <v>50</v>
      </c>
      <c r="E19" s="10">
        <v>24</v>
      </c>
      <c r="F19" s="11">
        <v>1</v>
      </c>
      <c r="G19" s="10">
        <v>21</v>
      </c>
    </row>
    <row r="20" spans="1:7" x14ac:dyDescent="0.2">
      <c r="A20" s="44">
        <v>19</v>
      </c>
      <c r="B20" s="7">
        <v>43.8</v>
      </c>
      <c r="C20" s="38">
        <v>1.8620949074074074E-2</v>
      </c>
      <c r="D20" s="7">
        <v>61.67</v>
      </c>
      <c r="E20" s="7">
        <v>31.6</v>
      </c>
      <c r="F20" s="8">
        <v>0</v>
      </c>
      <c r="G20" s="7">
        <v>17</v>
      </c>
    </row>
    <row r="21" spans="1:7" x14ac:dyDescent="0.2">
      <c r="A21" s="45">
        <v>20</v>
      </c>
      <c r="B21" s="10">
        <v>34.299999999999997</v>
      </c>
      <c r="C21" s="39">
        <v>1.9430208333333334E-2</v>
      </c>
      <c r="D21" s="10">
        <v>51.28</v>
      </c>
      <c r="E21" s="10">
        <v>18.5</v>
      </c>
      <c r="F21" s="11">
        <v>1</v>
      </c>
      <c r="G21" s="10">
        <v>10</v>
      </c>
    </row>
    <row r="22" spans="1:7" x14ac:dyDescent="0.2">
      <c r="A22" s="44">
        <v>21</v>
      </c>
      <c r="B22" s="7">
        <v>42.5</v>
      </c>
      <c r="C22" s="38">
        <v>1.9985763888888886E-2</v>
      </c>
      <c r="D22" s="7">
        <v>62.86</v>
      </c>
      <c r="E22" s="7">
        <v>23.8</v>
      </c>
      <c r="F22" s="8">
        <v>1</v>
      </c>
      <c r="G22" s="7">
        <v>32</v>
      </c>
    </row>
    <row r="23" spans="1:7" x14ac:dyDescent="0.2">
      <c r="A23" s="45">
        <v>22</v>
      </c>
      <c r="B23" s="10">
        <v>36.4</v>
      </c>
      <c r="C23" s="39">
        <v>1.9028703703703704E-2</v>
      </c>
      <c r="D23" s="10">
        <v>62</v>
      </c>
      <c r="E23" s="10">
        <v>28.8</v>
      </c>
      <c r="F23" s="11">
        <v>1</v>
      </c>
      <c r="G23" s="10">
        <v>26</v>
      </c>
    </row>
    <row r="24" spans="1:7" x14ac:dyDescent="0.2">
      <c r="A24" s="44">
        <v>23</v>
      </c>
      <c r="B24" s="7">
        <v>29.8</v>
      </c>
      <c r="C24" s="38">
        <v>2.3475810185185183E-2</v>
      </c>
      <c r="D24" s="7">
        <v>62.16</v>
      </c>
      <c r="E24" s="7">
        <v>23.9</v>
      </c>
      <c r="F24" s="8">
        <v>1</v>
      </c>
      <c r="G24" s="7">
        <v>25</v>
      </c>
    </row>
    <row r="25" spans="1:7" x14ac:dyDescent="0.2">
      <c r="A25" s="45">
        <v>24</v>
      </c>
      <c r="B25" s="10">
        <v>31.2</v>
      </c>
      <c r="C25" s="39">
        <v>2.0264467592592591E-2</v>
      </c>
      <c r="D25" s="10">
        <v>41.86</v>
      </c>
      <c r="E25" s="10">
        <v>17.100000000000001</v>
      </c>
      <c r="F25" s="11">
        <v>1</v>
      </c>
      <c r="G25" s="10">
        <v>14</v>
      </c>
    </row>
    <row r="26" spans="1:7" x14ac:dyDescent="0.2">
      <c r="A26" s="44">
        <v>25</v>
      </c>
      <c r="B26" s="7">
        <v>35.200000000000003</v>
      </c>
      <c r="C26" s="38">
        <v>2.1790624999999997E-2</v>
      </c>
      <c r="D26" s="7">
        <v>66.67</v>
      </c>
      <c r="E26" s="7">
        <v>20.2</v>
      </c>
      <c r="F26" s="8">
        <v>0</v>
      </c>
      <c r="G26" s="7">
        <v>15</v>
      </c>
    </row>
    <row r="27" spans="1:7" x14ac:dyDescent="0.2">
      <c r="A27" s="45">
        <v>1</v>
      </c>
      <c r="B27" s="10">
        <v>35.1</v>
      </c>
      <c r="C27" s="39">
        <v>2.3325578703703706E-2</v>
      </c>
      <c r="D27" s="10">
        <v>46.67</v>
      </c>
      <c r="E27" s="10">
        <v>15.1</v>
      </c>
      <c r="F27" s="11">
        <v>1</v>
      </c>
      <c r="G27" s="10">
        <v>17</v>
      </c>
    </row>
    <row r="28" spans="1:7" x14ac:dyDescent="0.2">
      <c r="A28" s="44">
        <v>2</v>
      </c>
      <c r="B28" s="7">
        <v>38.5</v>
      </c>
      <c r="C28" s="38">
        <v>2.2178240740740738E-2</v>
      </c>
      <c r="D28" s="7">
        <v>57.14</v>
      </c>
      <c r="E28" s="7">
        <v>21.7</v>
      </c>
      <c r="F28" s="8">
        <v>1</v>
      </c>
      <c r="G28" s="7">
        <v>27</v>
      </c>
    </row>
    <row r="29" spans="1:7" x14ac:dyDescent="0.2">
      <c r="A29" s="45">
        <v>3</v>
      </c>
      <c r="B29" s="10">
        <v>37.799999999999997</v>
      </c>
      <c r="C29" s="39">
        <v>2.4165856481481483E-2</v>
      </c>
      <c r="D29" s="10">
        <v>44.68</v>
      </c>
      <c r="E29" s="10">
        <v>22.6</v>
      </c>
      <c r="F29" s="11">
        <v>1</v>
      </c>
      <c r="G29" s="10">
        <v>13</v>
      </c>
    </row>
    <row r="30" spans="1:7" x14ac:dyDescent="0.2">
      <c r="A30" s="44">
        <v>4</v>
      </c>
      <c r="B30" s="7">
        <v>35.700000000000003</v>
      </c>
      <c r="C30" s="38">
        <v>2.0323148148148149E-2</v>
      </c>
      <c r="D30" s="7">
        <v>61.29</v>
      </c>
      <c r="E30" s="7">
        <v>15.1</v>
      </c>
      <c r="F30" s="8">
        <v>1</v>
      </c>
      <c r="G30" s="7">
        <v>18</v>
      </c>
    </row>
    <row r="31" spans="1:7" x14ac:dyDescent="0.2">
      <c r="A31" s="45">
        <v>5</v>
      </c>
      <c r="B31" s="10">
        <v>43.5</v>
      </c>
      <c r="C31" s="39">
        <v>2.1315046296296297E-2</v>
      </c>
      <c r="D31" s="10">
        <v>53.49</v>
      </c>
      <c r="E31" s="10">
        <v>22</v>
      </c>
      <c r="F31" s="11">
        <v>1</v>
      </c>
      <c r="G31" s="10">
        <v>18</v>
      </c>
    </row>
    <row r="32" spans="1:7" x14ac:dyDescent="0.2">
      <c r="A32" s="44">
        <v>6</v>
      </c>
      <c r="B32" s="7">
        <v>29.8</v>
      </c>
      <c r="C32" s="38">
        <v>2.281990740740741E-2</v>
      </c>
      <c r="D32" s="7">
        <v>63.41</v>
      </c>
      <c r="E32" s="7">
        <v>21.7</v>
      </c>
      <c r="F32" s="8">
        <v>1</v>
      </c>
      <c r="G32" s="7">
        <v>14</v>
      </c>
    </row>
    <row r="33" spans="1:7" x14ac:dyDescent="0.2">
      <c r="A33" s="45">
        <v>7</v>
      </c>
      <c r="B33" s="10">
        <v>42.1</v>
      </c>
      <c r="C33" s="39">
        <v>2.1780671296296295E-2</v>
      </c>
      <c r="D33" s="10">
        <v>60</v>
      </c>
      <c r="E33" s="10">
        <v>27.2</v>
      </c>
      <c r="F33" s="11">
        <v>1</v>
      </c>
      <c r="G33" s="10">
        <v>19</v>
      </c>
    </row>
    <row r="34" spans="1:7" x14ac:dyDescent="0.2">
      <c r="A34" s="44">
        <v>8</v>
      </c>
      <c r="B34" s="7">
        <v>40.4</v>
      </c>
      <c r="C34" s="38">
        <v>2.175428240740741E-2</v>
      </c>
      <c r="D34" s="7">
        <v>71.430000000000007</v>
      </c>
      <c r="E34" s="7">
        <v>20.7</v>
      </c>
      <c r="F34" s="8">
        <v>0</v>
      </c>
      <c r="G34" s="7">
        <v>14</v>
      </c>
    </row>
    <row r="35" spans="1:7" x14ac:dyDescent="0.2">
      <c r="A35" s="45">
        <v>9</v>
      </c>
      <c r="B35" s="10">
        <v>30.9</v>
      </c>
      <c r="C35" s="39">
        <v>2.1966782407407407E-2</v>
      </c>
      <c r="D35" s="10">
        <v>50</v>
      </c>
      <c r="E35" s="10">
        <v>20.399999999999999</v>
      </c>
      <c r="F35" s="11">
        <v>1</v>
      </c>
      <c r="G35" s="10">
        <v>16</v>
      </c>
    </row>
    <row r="36" spans="1:7" x14ac:dyDescent="0.2">
      <c r="A36" s="44">
        <v>10</v>
      </c>
      <c r="B36" s="7">
        <v>40.799999999999997</v>
      </c>
      <c r="C36" s="38">
        <v>1.8421527777777776E-2</v>
      </c>
      <c r="D36" s="7">
        <v>50</v>
      </c>
      <c r="E36" s="7">
        <v>22.6</v>
      </c>
      <c r="F36" s="8">
        <v>1</v>
      </c>
      <c r="G36" s="7">
        <v>23</v>
      </c>
    </row>
    <row r="37" spans="1:7" x14ac:dyDescent="0.2">
      <c r="A37" s="45">
        <v>11</v>
      </c>
      <c r="B37" s="10">
        <v>34.200000000000003</v>
      </c>
      <c r="C37" s="39">
        <v>2.0586689814814815E-2</v>
      </c>
      <c r="D37" s="10">
        <v>65.849999999999994</v>
      </c>
      <c r="E37" s="10">
        <v>24.1</v>
      </c>
      <c r="F37" s="11">
        <v>1</v>
      </c>
      <c r="G37" s="10">
        <v>20</v>
      </c>
    </row>
    <row r="38" spans="1:7" x14ac:dyDescent="0.2">
      <c r="A38" s="44">
        <v>12</v>
      </c>
      <c r="B38" s="7">
        <v>31.4</v>
      </c>
      <c r="C38" s="38">
        <v>2.3238078703703705E-2</v>
      </c>
      <c r="D38" s="7">
        <v>41.18</v>
      </c>
      <c r="E38" s="7">
        <v>16.399999999999999</v>
      </c>
      <c r="F38" s="8">
        <v>1</v>
      </c>
      <c r="G38" s="7">
        <v>16</v>
      </c>
    </row>
    <row r="39" spans="1:7" x14ac:dyDescent="0.2">
      <c r="A39" s="45">
        <v>13</v>
      </c>
      <c r="B39" s="10">
        <v>48.1</v>
      </c>
      <c r="C39" s="39">
        <v>1.9349189814814816E-2</v>
      </c>
      <c r="D39" s="10">
        <v>71.430000000000007</v>
      </c>
      <c r="E39" s="10">
        <v>28.3</v>
      </c>
      <c r="F39" s="11">
        <v>1</v>
      </c>
      <c r="G39" s="10">
        <v>26</v>
      </c>
    </row>
    <row r="40" spans="1:7" x14ac:dyDescent="0.2">
      <c r="A40" s="44">
        <v>14</v>
      </c>
      <c r="B40" s="7">
        <v>31.7</v>
      </c>
      <c r="C40" s="38">
        <v>2.0431828703703702E-2</v>
      </c>
      <c r="D40" s="7">
        <v>48.57</v>
      </c>
      <c r="E40" s="7">
        <v>17.5</v>
      </c>
      <c r="F40" s="8">
        <v>1</v>
      </c>
      <c r="G40" s="7">
        <v>15</v>
      </c>
    </row>
    <row r="41" spans="1:7" x14ac:dyDescent="0.2">
      <c r="A41" s="45">
        <v>15</v>
      </c>
      <c r="B41" s="10">
        <v>40.700000000000003</v>
      </c>
      <c r="C41" s="39">
        <v>1.7550462962962962E-2</v>
      </c>
      <c r="D41" s="10">
        <v>62.07</v>
      </c>
      <c r="E41" s="10">
        <v>24.5</v>
      </c>
      <c r="F41" s="11">
        <v>1</v>
      </c>
      <c r="G41" s="10">
        <v>19</v>
      </c>
    </row>
    <row r="42" spans="1:7" x14ac:dyDescent="0.2">
      <c r="A42" s="44">
        <v>16</v>
      </c>
      <c r="B42" s="7">
        <v>24.7</v>
      </c>
      <c r="C42" s="38">
        <v>2.0332754629629628E-2</v>
      </c>
      <c r="D42" s="7">
        <v>69.44</v>
      </c>
      <c r="E42" s="7">
        <v>24.3</v>
      </c>
      <c r="F42" s="8">
        <v>1</v>
      </c>
      <c r="G42" s="7">
        <v>22</v>
      </c>
    </row>
    <row r="43" spans="1:7" x14ac:dyDescent="0.2">
      <c r="A43" s="45">
        <v>17</v>
      </c>
      <c r="B43" s="10">
        <v>30.6</v>
      </c>
      <c r="C43" s="39">
        <v>2.2723495370370373E-2</v>
      </c>
      <c r="D43" s="10">
        <v>56.52</v>
      </c>
      <c r="E43" s="10">
        <v>22.3</v>
      </c>
      <c r="F43" s="11">
        <v>1</v>
      </c>
      <c r="G43" s="10">
        <v>21</v>
      </c>
    </row>
    <row r="44" spans="1:7" x14ac:dyDescent="0.2">
      <c r="A44" s="44">
        <v>18</v>
      </c>
      <c r="B44" s="7">
        <v>36.799999999999997</v>
      </c>
      <c r="C44" s="38">
        <v>2.2882870370370369E-2</v>
      </c>
      <c r="D44" s="7">
        <v>60.53</v>
      </c>
      <c r="E44" s="7">
        <v>21.8</v>
      </c>
      <c r="F44" s="8">
        <v>0</v>
      </c>
      <c r="G44" s="7">
        <v>8</v>
      </c>
    </row>
    <row r="45" spans="1:7" x14ac:dyDescent="0.2">
      <c r="A45" s="45">
        <v>19</v>
      </c>
      <c r="B45" s="10">
        <v>43</v>
      </c>
      <c r="C45" s="39">
        <v>1.8928009259259259E-2</v>
      </c>
      <c r="D45" s="10">
        <v>69.7</v>
      </c>
      <c r="E45" s="10">
        <v>37.5</v>
      </c>
      <c r="F45" s="11">
        <v>1</v>
      </c>
      <c r="G45" s="10">
        <v>17</v>
      </c>
    </row>
    <row r="46" spans="1:7" x14ac:dyDescent="0.2">
      <c r="A46" s="44">
        <v>20</v>
      </c>
      <c r="B46" s="7">
        <v>39.5</v>
      </c>
      <c r="C46" s="38">
        <v>2.0470138888888888E-2</v>
      </c>
      <c r="D46" s="7">
        <v>66.67</v>
      </c>
      <c r="E46" s="7">
        <v>30.5</v>
      </c>
      <c r="F46" s="8">
        <v>1</v>
      </c>
      <c r="G46" s="7">
        <v>15</v>
      </c>
    </row>
    <row r="47" spans="1:7" x14ac:dyDescent="0.2">
      <c r="A47" s="45">
        <v>21</v>
      </c>
      <c r="B47" s="10">
        <v>26.8</v>
      </c>
      <c r="C47" s="39">
        <v>2.3513194444444444E-2</v>
      </c>
      <c r="D47" s="10">
        <v>44</v>
      </c>
      <c r="E47" s="10">
        <v>13.7</v>
      </c>
      <c r="F47" s="11">
        <v>1</v>
      </c>
      <c r="G47" s="10">
        <v>18</v>
      </c>
    </row>
    <row r="48" spans="1:7" x14ac:dyDescent="0.2">
      <c r="A48" s="44">
        <v>22</v>
      </c>
      <c r="B48" s="7">
        <v>35.200000000000003</v>
      </c>
      <c r="C48" s="38">
        <v>2.1207291666666666E-2</v>
      </c>
      <c r="D48" s="7">
        <v>56.1</v>
      </c>
      <c r="E48" s="7">
        <v>20</v>
      </c>
      <c r="F48" s="8">
        <v>1</v>
      </c>
      <c r="G48" s="7">
        <v>12</v>
      </c>
    </row>
    <row r="49" spans="1:7" x14ac:dyDescent="0.2">
      <c r="A49" s="45">
        <v>23</v>
      </c>
      <c r="B49" s="10">
        <v>19.5</v>
      </c>
      <c r="C49" s="39">
        <v>2.0695370370370367E-2</v>
      </c>
      <c r="D49" s="10">
        <v>56.76</v>
      </c>
      <c r="E49" s="10">
        <v>18.600000000000001</v>
      </c>
      <c r="F49" s="11">
        <v>1</v>
      </c>
      <c r="G49" s="10">
        <v>20</v>
      </c>
    </row>
    <row r="50" spans="1:7" x14ac:dyDescent="0.2">
      <c r="A50" s="44">
        <v>24</v>
      </c>
      <c r="B50" s="7">
        <v>44.3</v>
      </c>
      <c r="C50" s="38">
        <v>2.0964814814814815E-2</v>
      </c>
      <c r="D50" s="7">
        <v>61.22</v>
      </c>
      <c r="E50" s="7">
        <v>25.9</v>
      </c>
      <c r="F50" s="8">
        <v>0</v>
      </c>
      <c r="G50" s="7">
        <v>17</v>
      </c>
    </row>
    <row r="51" spans="1:7" x14ac:dyDescent="0.2">
      <c r="A51" s="45">
        <v>25</v>
      </c>
      <c r="B51" s="10">
        <v>23.2</v>
      </c>
      <c r="C51" s="39">
        <v>2.150960648148148E-2</v>
      </c>
      <c r="D51" s="10">
        <v>48.72</v>
      </c>
      <c r="E51" s="10">
        <v>18.3</v>
      </c>
      <c r="F51" s="11">
        <v>1</v>
      </c>
      <c r="G51" s="10">
        <v>17</v>
      </c>
    </row>
    <row r="52" spans="1:7" x14ac:dyDescent="0.2">
      <c r="A52" s="44">
        <v>1</v>
      </c>
      <c r="B52" s="7">
        <v>44.8</v>
      </c>
      <c r="C52" s="38">
        <v>2.1878124999999998E-2</v>
      </c>
      <c r="D52" s="7">
        <v>68.89</v>
      </c>
      <c r="E52" s="7">
        <v>22</v>
      </c>
      <c r="F52" s="8">
        <v>1</v>
      </c>
      <c r="G52" s="7">
        <v>26</v>
      </c>
    </row>
    <row r="53" spans="1:7" x14ac:dyDescent="0.2">
      <c r="A53" s="45">
        <v>2</v>
      </c>
      <c r="B53" s="10">
        <v>45.4</v>
      </c>
      <c r="C53" s="39">
        <v>1.8622685185185183E-2</v>
      </c>
      <c r="D53" s="10">
        <v>62.71</v>
      </c>
      <c r="E53" s="10">
        <v>23.6</v>
      </c>
      <c r="F53" s="11">
        <v>1</v>
      </c>
      <c r="G53" s="10">
        <v>11</v>
      </c>
    </row>
    <row r="54" spans="1:7" x14ac:dyDescent="0.2">
      <c r="A54" s="44">
        <v>3</v>
      </c>
      <c r="B54" s="7">
        <v>46.5</v>
      </c>
      <c r="C54" s="38">
        <v>2.1265972222222221E-2</v>
      </c>
      <c r="D54" s="7">
        <v>40.630000000000003</v>
      </c>
      <c r="E54" s="7">
        <v>19</v>
      </c>
      <c r="F54" s="8">
        <v>1</v>
      </c>
      <c r="G54" s="7">
        <v>22</v>
      </c>
    </row>
    <row r="55" spans="1:7" x14ac:dyDescent="0.2">
      <c r="A55" s="45">
        <v>4</v>
      </c>
      <c r="B55" s="10">
        <v>36.9</v>
      </c>
      <c r="C55" s="39">
        <v>2.2042824074074072E-2</v>
      </c>
      <c r="D55" s="10">
        <v>38.64</v>
      </c>
      <c r="E55" s="10">
        <v>18.399999999999999</v>
      </c>
      <c r="F55" s="11">
        <v>1</v>
      </c>
      <c r="G55" s="10">
        <v>22</v>
      </c>
    </row>
    <row r="56" spans="1:7" x14ac:dyDescent="0.2">
      <c r="A56" s="44">
        <v>5</v>
      </c>
      <c r="B56" s="7">
        <v>33.700000000000003</v>
      </c>
      <c r="C56" s="38">
        <v>2.01E-2</v>
      </c>
      <c r="D56" s="7">
        <v>53.85</v>
      </c>
      <c r="E56" s="7">
        <v>25.6</v>
      </c>
      <c r="F56" s="8">
        <v>1</v>
      </c>
      <c r="G56" s="7">
        <v>32</v>
      </c>
    </row>
    <row r="57" spans="1:7" x14ac:dyDescent="0.2">
      <c r="A57" s="45">
        <v>6</v>
      </c>
      <c r="B57" s="10">
        <v>43</v>
      </c>
      <c r="C57" s="39">
        <v>2.4550347222222223E-2</v>
      </c>
      <c r="D57" s="10">
        <v>70</v>
      </c>
      <c r="E57" s="10">
        <v>21.5</v>
      </c>
      <c r="F57" s="11">
        <v>1</v>
      </c>
      <c r="G57" s="10">
        <v>15</v>
      </c>
    </row>
    <row r="58" spans="1:7" x14ac:dyDescent="0.2">
      <c r="A58" s="44">
        <v>7</v>
      </c>
      <c r="B58" s="7">
        <v>48.2</v>
      </c>
      <c r="C58" s="38">
        <v>2.0172685185185186E-2</v>
      </c>
      <c r="D58" s="7">
        <v>68.42</v>
      </c>
      <c r="E58" s="7">
        <v>25.5</v>
      </c>
      <c r="F58" s="8">
        <v>1</v>
      </c>
      <c r="G58" s="7">
        <v>13</v>
      </c>
    </row>
    <row r="59" spans="1:7" x14ac:dyDescent="0.2">
      <c r="A59" s="45">
        <v>8</v>
      </c>
      <c r="B59" s="10">
        <v>37.9</v>
      </c>
      <c r="C59" s="39">
        <v>2.3720254629629633E-2</v>
      </c>
      <c r="D59" s="10">
        <v>52.83</v>
      </c>
      <c r="E59" s="10">
        <v>25.7</v>
      </c>
      <c r="F59" s="11">
        <v>1</v>
      </c>
      <c r="G59" s="10">
        <v>18</v>
      </c>
    </row>
    <row r="60" spans="1:7" x14ac:dyDescent="0.2">
      <c r="A60" s="44">
        <v>9</v>
      </c>
      <c r="B60" s="7">
        <v>41.3</v>
      </c>
      <c r="C60" s="38">
        <v>2.0326736111111108E-2</v>
      </c>
      <c r="D60" s="7">
        <v>67.5</v>
      </c>
      <c r="E60" s="7">
        <v>20.7</v>
      </c>
      <c r="F60" s="8">
        <v>1</v>
      </c>
      <c r="G60" s="7">
        <v>13</v>
      </c>
    </row>
    <row r="61" spans="1:7" x14ac:dyDescent="0.2">
      <c r="A61" s="45">
        <v>10</v>
      </c>
      <c r="B61" s="10">
        <v>33.5</v>
      </c>
      <c r="C61" s="39">
        <v>2.0253703703703704E-2</v>
      </c>
      <c r="D61" s="10">
        <v>60</v>
      </c>
      <c r="E61" s="10">
        <v>28.1</v>
      </c>
      <c r="F61" s="11">
        <v>1</v>
      </c>
      <c r="G61" s="10">
        <v>16</v>
      </c>
    </row>
    <row r="62" spans="1:7" x14ac:dyDescent="0.2">
      <c r="A62" s="44">
        <v>11</v>
      </c>
      <c r="B62" s="7">
        <v>36.9</v>
      </c>
      <c r="C62" s="38">
        <v>2.0571527777777779E-2</v>
      </c>
      <c r="D62" s="7">
        <v>43.18</v>
      </c>
      <c r="E62" s="7">
        <v>21.7</v>
      </c>
      <c r="F62" s="8">
        <v>1</v>
      </c>
      <c r="G62" s="7">
        <v>23</v>
      </c>
    </row>
    <row r="63" spans="1:7" x14ac:dyDescent="0.2">
      <c r="A63" s="45">
        <v>12</v>
      </c>
      <c r="B63" s="10">
        <v>36.9</v>
      </c>
      <c r="C63" s="39">
        <v>1.9934953703703705E-2</v>
      </c>
      <c r="D63" s="10">
        <v>56.52</v>
      </c>
      <c r="E63" s="10">
        <v>27.9</v>
      </c>
      <c r="F63" s="11">
        <v>1</v>
      </c>
      <c r="G63" s="10">
        <v>13</v>
      </c>
    </row>
    <row r="64" spans="1:7" x14ac:dyDescent="0.2">
      <c r="A64" s="44">
        <v>13</v>
      </c>
      <c r="B64" s="7">
        <v>34.6</v>
      </c>
      <c r="C64" s="38">
        <v>2.3363078703703705E-2</v>
      </c>
      <c r="D64" s="7">
        <v>59.38</v>
      </c>
      <c r="E64" s="7">
        <v>20.8</v>
      </c>
      <c r="F64" s="8">
        <v>1</v>
      </c>
      <c r="G64" s="7">
        <v>26</v>
      </c>
    </row>
    <row r="65" spans="1:7" x14ac:dyDescent="0.2">
      <c r="A65" s="45">
        <v>14</v>
      </c>
      <c r="B65" s="10">
        <v>27.8</v>
      </c>
      <c r="C65" s="39">
        <v>2.0136458333333333E-2</v>
      </c>
      <c r="D65" s="10">
        <v>63.16</v>
      </c>
      <c r="E65" s="10">
        <v>21.1</v>
      </c>
      <c r="F65" s="11">
        <v>1</v>
      </c>
      <c r="G65" s="10">
        <v>16</v>
      </c>
    </row>
    <row r="66" spans="1:7" x14ac:dyDescent="0.2">
      <c r="A66" s="44">
        <v>15</v>
      </c>
      <c r="B66" s="7">
        <v>30.8</v>
      </c>
      <c r="C66" s="38">
        <v>2.1797569444444446E-2</v>
      </c>
      <c r="D66" s="7">
        <v>55.56</v>
      </c>
      <c r="E66" s="7">
        <v>16.7</v>
      </c>
      <c r="F66" s="8">
        <v>1</v>
      </c>
      <c r="G66" s="7">
        <v>18</v>
      </c>
    </row>
    <row r="67" spans="1:7" x14ac:dyDescent="0.2">
      <c r="A67" s="45">
        <v>16</v>
      </c>
      <c r="B67" s="10">
        <v>39.700000000000003</v>
      </c>
      <c r="C67" s="39">
        <v>2.1844444444444444E-2</v>
      </c>
      <c r="D67" s="10">
        <v>57.78</v>
      </c>
      <c r="E67" s="10">
        <v>26.8</v>
      </c>
      <c r="F67" s="11">
        <v>0</v>
      </c>
      <c r="G67" s="10">
        <v>24</v>
      </c>
    </row>
    <row r="68" spans="1:7" x14ac:dyDescent="0.2">
      <c r="A68" s="44">
        <v>17</v>
      </c>
      <c r="B68" s="7">
        <v>28.3</v>
      </c>
      <c r="C68" s="38">
        <v>1.9608217592592594E-2</v>
      </c>
      <c r="D68" s="7">
        <v>41.18</v>
      </c>
      <c r="E68" s="7">
        <v>16</v>
      </c>
      <c r="F68" s="8">
        <v>1</v>
      </c>
      <c r="G68" s="7">
        <v>25</v>
      </c>
    </row>
    <row r="69" spans="1:7" x14ac:dyDescent="0.2">
      <c r="A69" s="45">
        <v>18</v>
      </c>
      <c r="B69" s="10">
        <v>35.799999999999997</v>
      </c>
      <c r="C69" s="39">
        <v>2.2730555555555556E-2</v>
      </c>
      <c r="D69" s="10">
        <v>58.97</v>
      </c>
      <c r="E69" s="10">
        <v>23.2</v>
      </c>
      <c r="F69" s="11">
        <v>1</v>
      </c>
      <c r="G69" s="10">
        <v>13</v>
      </c>
    </row>
    <row r="70" spans="1:7" x14ac:dyDescent="0.2">
      <c r="A70" s="44">
        <v>19</v>
      </c>
      <c r="B70" s="7">
        <v>34.5</v>
      </c>
      <c r="C70" s="38">
        <v>1.8909606481481479E-2</v>
      </c>
      <c r="D70" s="7">
        <v>60.38</v>
      </c>
      <c r="E70" s="7">
        <v>28.2</v>
      </c>
      <c r="F70" s="8">
        <v>1</v>
      </c>
      <c r="G70" s="7">
        <v>18</v>
      </c>
    </row>
    <row r="71" spans="1:7" x14ac:dyDescent="0.2">
      <c r="A71" s="45">
        <v>20</v>
      </c>
      <c r="B71" s="10">
        <v>35.799999999999997</v>
      </c>
      <c r="C71" s="39">
        <v>2.1229513888888888E-2</v>
      </c>
      <c r="D71" s="10">
        <v>53.7</v>
      </c>
      <c r="E71" s="10">
        <v>25.2</v>
      </c>
      <c r="F71" s="11">
        <v>1</v>
      </c>
      <c r="G71" s="10">
        <v>12</v>
      </c>
    </row>
    <row r="72" spans="1:7" x14ac:dyDescent="0.2">
      <c r="A72" s="44">
        <v>21</v>
      </c>
      <c r="B72" s="7">
        <v>31.3</v>
      </c>
      <c r="C72" s="38">
        <v>2.0743402777777777E-2</v>
      </c>
      <c r="D72" s="7">
        <v>64.099999999999994</v>
      </c>
      <c r="E72" s="7">
        <v>24.9</v>
      </c>
      <c r="F72" s="8">
        <v>1</v>
      </c>
      <c r="G72" s="7">
        <v>16</v>
      </c>
    </row>
    <row r="73" spans="1:7" x14ac:dyDescent="0.2">
      <c r="A73" s="45">
        <v>22</v>
      </c>
      <c r="B73" s="10">
        <v>35.5</v>
      </c>
      <c r="C73" s="39">
        <v>2.0748726851851852E-2</v>
      </c>
      <c r="D73" s="10">
        <v>55.56</v>
      </c>
      <c r="E73" s="10">
        <v>26.7</v>
      </c>
      <c r="F73" s="11">
        <v>1</v>
      </c>
      <c r="G73" s="10">
        <v>20</v>
      </c>
    </row>
    <row r="74" spans="1:7" x14ac:dyDescent="0.2">
      <c r="A74" s="44">
        <v>23</v>
      </c>
      <c r="B74" s="7">
        <v>45.6</v>
      </c>
      <c r="C74" s="38">
        <v>1.982638888888889E-2</v>
      </c>
      <c r="D74" s="7">
        <v>50.98</v>
      </c>
      <c r="E74" s="7">
        <v>21</v>
      </c>
      <c r="F74" s="8">
        <v>0</v>
      </c>
      <c r="G74" s="7">
        <v>24</v>
      </c>
    </row>
    <row r="75" spans="1:7" x14ac:dyDescent="0.2">
      <c r="A75" s="45">
        <v>24</v>
      </c>
      <c r="B75" s="10">
        <v>31.2</v>
      </c>
      <c r="C75" s="39">
        <v>2.2588194444444445E-2</v>
      </c>
      <c r="D75" s="10">
        <v>41.03</v>
      </c>
      <c r="E75" s="10">
        <v>21.8</v>
      </c>
      <c r="F75" s="11">
        <v>1</v>
      </c>
      <c r="G75" s="10">
        <v>26</v>
      </c>
    </row>
    <row r="76" spans="1:7" x14ac:dyDescent="0.2">
      <c r="A76" s="44">
        <v>25</v>
      </c>
      <c r="B76" s="7">
        <v>36.200000000000003</v>
      </c>
      <c r="C76" s="38">
        <v>2.0915277777777779E-2</v>
      </c>
      <c r="D76" s="7">
        <v>50</v>
      </c>
      <c r="E76" s="7">
        <v>19.5</v>
      </c>
      <c r="F76" s="8">
        <v>1</v>
      </c>
      <c r="G76" s="7">
        <v>20</v>
      </c>
    </row>
    <row r="77" spans="1:7" x14ac:dyDescent="0.2">
      <c r="A77" s="45">
        <v>1</v>
      </c>
      <c r="B77" s="10">
        <v>51.6</v>
      </c>
      <c r="C77" s="39">
        <v>2.0416666666666666E-2</v>
      </c>
      <c r="D77" s="10">
        <v>53.33</v>
      </c>
      <c r="E77" s="10">
        <v>12.1</v>
      </c>
      <c r="F77" s="11">
        <v>1</v>
      </c>
      <c r="G77" s="10">
        <v>18</v>
      </c>
    </row>
    <row r="78" spans="1:7" x14ac:dyDescent="0.2">
      <c r="A78" s="44">
        <v>2</v>
      </c>
      <c r="B78" s="7">
        <v>39.5</v>
      </c>
      <c r="C78" s="38">
        <v>2.1092939814814814E-2</v>
      </c>
      <c r="D78" s="7">
        <v>50</v>
      </c>
      <c r="E78" s="7">
        <v>24.7</v>
      </c>
      <c r="F78" s="8">
        <v>1</v>
      </c>
      <c r="G78" s="7">
        <v>19</v>
      </c>
    </row>
    <row r="79" spans="1:7" x14ac:dyDescent="0.2">
      <c r="A79" s="45">
        <v>3</v>
      </c>
      <c r="B79" s="10">
        <v>29.4</v>
      </c>
      <c r="C79" s="39">
        <v>2.3136574074074077E-2</v>
      </c>
      <c r="D79" s="10">
        <v>46.67</v>
      </c>
      <c r="E79" s="10">
        <v>13.2</v>
      </c>
      <c r="F79" s="11">
        <v>1</v>
      </c>
      <c r="G79" s="10">
        <v>15</v>
      </c>
    </row>
    <row r="80" spans="1:7" x14ac:dyDescent="0.2">
      <c r="A80" s="44">
        <v>4</v>
      </c>
      <c r="B80" s="7">
        <v>34.1</v>
      </c>
      <c r="C80" s="38">
        <v>2.2232870370370372E-2</v>
      </c>
      <c r="D80" s="7">
        <v>58.7</v>
      </c>
      <c r="E80" s="7">
        <v>20.3</v>
      </c>
      <c r="F80" s="8">
        <v>1</v>
      </c>
      <c r="G80" s="7">
        <v>17</v>
      </c>
    </row>
    <row r="81" spans="1:7" x14ac:dyDescent="0.2">
      <c r="A81" s="45">
        <v>5</v>
      </c>
      <c r="B81" s="10">
        <v>39.1</v>
      </c>
      <c r="C81" s="39">
        <v>2.0824189814814816E-2</v>
      </c>
      <c r="D81" s="10">
        <v>58.33</v>
      </c>
      <c r="E81" s="10">
        <v>23.1</v>
      </c>
      <c r="F81" s="11">
        <v>1</v>
      </c>
      <c r="G81" s="10">
        <v>16</v>
      </c>
    </row>
    <row r="82" spans="1:7" x14ac:dyDescent="0.2">
      <c r="A82" s="44">
        <v>6</v>
      </c>
      <c r="B82" s="7">
        <v>32.799999999999997</v>
      </c>
      <c r="C82" s="38">
        <v>2.2430555555555554E-2</v>
      </c>
      <c r="D82" s="7">
        <v>57.14</v>
      </c>
      <c r="E82" s="7">
        <v>22.1</v>
      </c>
      <c r="F82" s="8">
        <v>1</v>
      </c>
      <c r="G82" s="7">
        <v>16</v>
      </c>
    </row>
    <row r="83" spans="1:7" x14ac:dyDescent="0.2">
      <c r="A83" s="45">
        <v>7</v>
      </c>
      <c r="B83" s="10">
        <v>38.200000000000003</v>
      </c>
      <c r="C83" s="39">
        <v>2.2225810185185185E-2</v>
      </c>
      <c r="D83" s="10">
        <v>56</v>
      </c>
      <c r="E83" s="10">
        <v>13.9</v>
      </c>
      <c r="F83" s="11">
        <v>1</v>
      </c>
      <c r="G83" s="10">
        <v>17</v>
      </c>
    </row>
    <row r="84" spans="1:7" x14ac:dyDescent="0.2">
      <c r="A84" s="44">
        <v>8</v>
      </c>
      <c r="B84" s="7">
        <v>40.200000000000003</v>
      </c>
      <c r="C84" s="38">
        <v>1.8955671296296297E-2</v>
      </c>
      <c r="D84" s="7">
        <v>63.64</v>
      </c>
      <c r="E84" s="7">
        <v>22.2</v>
      </c>
      <c r="F84" s="8">
        <v>1</v>
      </c>
      <c r="G84" s="7">
        <v>24</v>
      </c>
    </row>
    <row r="85" spans="1:7" x14ac:dyDescent="0.2">
      <c r="A85" s="45">
        <v>9</v>
      </c>
      <c r="B85" s="10">
        <v>45.5</v>
      </c>
      <c r="C85" s="39">
        <v>1.7743981481481482E-2</v>
      </c>
      <c r="D85" s="10">
        <v>54.35</v>
      </c>
      <c r="E85" s="10">
        <v>20.5</v>
      </c>
      <c r="F85" s="11">
        <v>1</v>
      </c>
      <c r="G85" s="10">
        <v>18</v>
      </c>
    </row>
    <row r="86" spans="1:7" x14ac:dyDescent="0.2">
      <c r="A86" s="44">
        <v>10</v>
      </c>
      <c r="B86" s="7">
        <v>34.6</v>
      </c>
      <c r="C86" s="38">
        <v>2.2358449074074079E-2</v>
      </c>
      <c r="D86" s="7">
        <v>68.42</v>
      </c>
      <c r="E86" s="7">
        <v>21.3</v>
      </c>
      <c r="F86" s="8">
        <v>0</v>
      </c>
      <c r="G86" s="7">
        <v>21</v>
      </c>
    </row>
    <row r="87" spans="1:7" x14ac:dyDescent="0.2">
      <c r="A87" s="45">
        <v>11</v>
      </c>
      <c r="B87" s="10">
        <v>32.299999999999997</v>
      </c>
      <c r="C87" s="39">
        <v>2.2056018518518516E-2</v>
      </c>
      <c r="D87" s="10">
        <v>48.84</v>
      </c>
      <c r="E87" s="10">
        <v>19</v>
      </c>
      <c r="F87" s="11">
        <v>1</v>
      </c>
      <c r="G87" s="10">
        <v>19</v>
      </c>
    </row>
    <row r="88" spans="1:7" x14ac:dyDescent="0.2">
      <c r="A88" s="44">
        <v>12</v>
      </c>
      <c r="B88" s="7">
        <v>45.5</v>
      </c>
      <c r="C88" s="38">
        <v>2.1812152777777778E-2</v>
      </c>
      <c r="D88" s="7">
        <v>67.44</v>
      </c>
      <c r="E88" s="7">
        <v>22.6</v>
      </c>
      <c r="F88" s="8">
        <v>1</v>
      </c>
      <c r="G88" s="7">
        <v>19</v>
      </c>
    </row>
    <row r="89" spans="1:7" x14ac:dyDescent="0.2">
      <c r="A89" s="45">
        <v>13</v>
      </c>
      <c r="B89" s="10">
        <v>52.4</v>
      </c>
      <c r="C89" s="39">
        <v>1.894675925925926E-2</v>
      </c>
      <c r="D89" s="10">
        <v>61.9</v>
      </c>
      <c r="E89" s="10">
        <v>23.5</v>
      </c>
      <c r="F89" s="11">
        <v>1</v>
      </c>
      <c r="G89" s="10">
        <v>16</v>
      </c>
    </row>
    <row r="90" spans="1:7" x14ac:dyDescent="0.2">
      <c r="A90" s="44">
        <v>14</v>
      </c>
      <c r="B90" s="7">
        <v>35.799999999999997</v>
      </c>
      <c r="C90" s="38">
        <v>2.0837731481481481E-2</v>
      </c>
      <c r="D90" s="7">
        <v>48.84</v>
      </c>
      <c r="E90" s="7">
        <v>22</v>
      </c>
      <c r="F90" s="8">
        <v>1</v>
      </c>
      <c r="G90" s="7">
        <v>19</v>
      </c>
    </row>
    <row r="91" spans="1:7" x14ac:dyDescent="0.2">
      <c r="A91" s="45">
        <v>15</v>
      </c>
      <c r="B91" s="10">
        <v>35.200000000000003</v>
      </c>
      <c r="C91" s="39">
        <v>2.3487384259259256E-2</v>
      </c>
      <c r="D91" s="10">
        <v>47.37</v>
      </c>
      <c r="E91" s="10">
        <v>12.2</v>
      </c>
      <c r="F91" s="11">
        <v>0</v>
      </c>
      <c r="G91" s="10">
        <v>10</v>
      </c>
    </row>
    <row r="92" spans="1:7" x14ac:dyDescent="0.2">
      <c r="A92" s="44">
        <v>16</v>
      </c>
      <c r="B92" s="7">
        <v>36.9</v>
      </c>
      <c r="C92" s="38">
        <v>2.017534722222222E-2</v>
      </c>
      <c r="D92" s="7">
        <v>61.7</v>
      </c>
      <c r="E92" s="7">
        <v>23.2</v>
      </c>
      <c r="F92" s="8">
        <v>1</v>
      </c>
      <c r="G92" s="7">
        <v>16</v>
      </c>
    </row>
    <row r="93" spans="1:7" x14ac:dyDescent="0.2">
      <c r="A93" s="45">
        <v>17</v>
      </c>
      <c r="B93" s="10">
        <v>39.1</v>
      </c>
      <c r="C93" s="39">
        <v>1.8569212962962964E-2</v>
      </c>
      <c r="D93" s="10">
        <v>44.44</v>
      </c>
      <c r="E93" s="10">
        <v>21.6</v>
      </c>
      <c r="F93" s="11">
        <v>1</v>
      </c>
      <c r="G93" s="10">
        <v>18</v>
      </c>
    </row>
    <row r="94" spans="1:7" x14ac:dyDescent="0.2">
      <c r="A94" s="44">
        <v>18</v>
      </c>
      <c r="B94" s="7">
        <v>44.2</v>
      </c>
      <c r="C94" s="38">
        <v>1.8572800925925923E-2</v>
      </c>
      <c r="D94" s="7">
        <v>72.92</v>
      </c>
      <c r="E94" s="7">
        <v>32.200000000000003</v>
      </c>
      <c r="F94" s="8">
        <v>1</v>
      </c>
      <c r="G94" s="7">
        <v>21</v>
      </c>
    </row>
    <row r="95" spans="1:7" x14ac:dyDescent="0.2">
      <c r="A95" s="45">
        <v>19</v>
      </c>
      <c r="B95" s="10">
        <v>29.7</v>
      </c>
      <c r="C95" s="39">
        <v>2.2966319444444442E-2</v>
      </c>
      <c r="D95" s="10">
        <v>51.16</v>
      </c>
      <c r="E95" s="10">
        <v>21.2</v>
      </c>
      <c r="F95" s="11">
        <v>1</v>
      </c>
      <c r="G95" s="10">
        <v>17</v>
      </c>
    </row>
    <row r="96" spans="1:7" x14ac:dyDescent="0.2">
      <c r="A96" s="44">
        <v>20</v>
      </c>
      <c r="B96" s="7">
        <v>27.2</v>
      </c>
      <c r="C96" s="38">
        <v>2.0214583333333334E-2</v>
      </c>
      <c r="D96" s="7">
        <v>52.08</v>
      </c>
      <c r="E96" s="7">
        <v>22.4</v>
      </c>
      <c r="F96" s="8">
        <v>1</v>
      </c>
      <c r="G96" s="7">
        <v>17</v>
      </c>
    </row>
    <row r="97" spans="1:7" x14ac:dyDescent="0.2">
      <c r="A97" s="45">
        <v>21</v>
      </c>
      <c r="B97" s="10">
        <v>39.700000000000003</v>
      </c>
      <c r="C97" s="39">
        <v>2.1078009259259262E-2</v>
      </c>
      <c r="D97" s="10">
        <v>65.22</v>
      </c>
      <c r="E97" s="10">
        <v>26.6</v>
      </c>
      <c r="F97" s="11">
        <v>1</v>
      </c>
      <c r="G97" s="10">
        <v>18</v>
      </c>
    </row>
    <row r="98" spans="1:7" x14ac:dyDescent="0.2">
      <c r="A98" s="44">
        <v>22</v>
      </c>
      <c r="B98" s="7">
        <v>34.799999999999997</v>
      </c>
      <c r="C98" s="38">
        <v>2.3311921296296296E-2</v>
      </c>
      <c r="D98" s="7">
        <v>42.42</v>
      </c>
      <c r="E98" s="7">
        <v>16.3</v>
      </c>
      <c r="F98" s="8">
        <v>1</v>
      </c>
      <c r="G98" s="7">
        <v>19</v>
      </c>
    </row>
    <row r="99" spans="1:7" x14ac:dyDescent="0.2">
      <c r="A99" s="45">
        <v>23</v>
      </c>
      <c r="B99" s="10">
        <v>32.799999999999997</v>
      </c>
      <c r="C99" s="39">
        <v>2.018275462962963E-2</v>
      </c>
      <c r="D99" s="10">
        <v>64.44</v>
      </c>
      <c r="E99" s="10">
        <v>26.6</v>
      </c>
      <c r="F99" s="11">
        <v>1</v>
      </c>
      <c r="G99" s="10">
        <v>25</v>
      </c>
    </row>
    <row r="100" spans="1:7" x14ac:dyDescent="0.2">
      <c r="A100" s="44">
        <v>24</v>
      </c>
      <c r="B100" s="7">
        <v>30.1</v>
      </c>
      <c r="C100" s="38">
        <v>2.2006712962962961E-2</v>
      </c>
      <c r="D100" s="7">
        <v>63.04</v>
      </c>
      <c r="E100" s="7">
        <v>24.6</v>
      </c>
      <c r="F100" s="8">
        <v>1</v>
      </c>
      <c r="G100" s="7">
        <v>23</v>
      </c>
    </row>
    <row r="101" spans="1:7" x14ac:dyDescent="0.2">
      <c r="A101" s="45">
        <v>25</v>
      </c>
      <c r="B101" s="10">
        <v>37.9</v>
      </c>
      <c r="C101" s="39">
        <v>1.9921643518518519E-2</v>
      </c>
      <c r="D101" s="10">
        <v>58.7</v>
      </c>
      <c r="E101" s="10">
        <v>22.8</v>
      </c>
      <c r="F101" s="11">
        <v>1</v>
      </c>
      <c r="G101" s="10">
        <v>16</v>
      </c>
    </row>
    <row r="102" spans="1:7" x14ac:dyDescent="0.2">
      <c r="A102" s="44">
        <v>1</v>
      </c>
      <c r="B102" s="7">
        <v>38.700000000000003</v>
      </c>
      <c r="C102" s="38">
        <v>2.241238425925926E-2</v>
      </c>
      <c r="D102" s="7">
        <v>55.17</v>
      </c>
      <c r="E102" s="7">
        <v>10.9</v>
      </c>
      <c r="F102" s="8">
        <v>1</v>
      </c>
      <c r="G102" s="7">
        <v>15</v>
      </c>
    </row>
    <row r="103" spans="1:7" x14ac:dyDescent="0.2">
      <c r="A103" s="45">
        <v>2</v>
      </c>
      <c r="B103" s="10">
        <v>49.6</v>
      </c>
      <c r="C103" s="39">
        <v>1.9498726851851854E-2</v>
      </c>
      <c r="D103" s="10">
        <v>49.02</v>
      </c>
      <c r="E103" s="10">
        <v>21.6</v>
      </c>
      <c r="F103" s="11">
        <v>1</v>
      </c>
      <c r="G103" s="10">
        <v>19</v>
      </c>
    </row>
    <row r="104" spans="1:7" x14ac:dyDescent="0.2">
      <c r="A104" s="44">
        <v>3</v>
      </c>
      <c r="B104" s="7">
        <v>37.200000000000003</v>
      </c>
      <c r="C104" s="38">
        <v>2.0918171296296296E-2</v>
      </c>
      <c r="D104" s="7">
        <v>50</v>
      </c>
      <c r="E104" s="7">
        <v>22.8</v>
      </c>
      <c r="F104" s="8">
        <v>1</v>
      </c>
      <c r="G104" s="7">
        <v>18</v>
      </c>
    </row>
    <row r="105" spans="1:7" x14ac:dyDescent="0.2">
      <c r="A105" s="45">
        <v>4</v>
      </c>
      <c r="B105" s="10">
        <v>25.8</v>
      </c>
      <c r="C105" s="39">
        <v>2.2039699074074076E-2</v>
      </c>
      <c r="D105" s="10">
        <v>34.21</v>
      </c>
      <c r="E105" s="10">
        <v>12.8</v>
      </c>
      <c r="F105" s="11">
        <v>1</v>
      </c>
      <c r="G105" s="10">
        <v>15</v>
      </c>
    </row>
    <row r="106" spans="1:7" x14ac:dyDescent="0.2">
      <c r="A106" s="44">
        <v>5</v>
      </c>
      <c r="B106" s="7">
        <v>37.799999999999997</v>
      </c>
      <c r="C106" s="38">
        <v>1.9528819444444446E-2</v>
      </c>
      <c r="D106" s="7">
        <v>50</v>
      </c>
      <c r="E106" s="7">
        <v>19.600000000000001</v>
      </c>
      <c r="F106" s="8">
        <v>1</v>
      </c>
      <c r="G106" s="7">
        <v>19</v>
      </c>
    </row>
    <row r="107" spans="1:7" x14ac:dyDescent="0.2">
      <c r="A107" s="45">
        <v>6</v>
      </c>
      <c r="B107" s="10">
        <v>44.5</v>
      </c>
      <c r="C107" s="39">
        <v>1.9543287037037036E-2</v>
      </c>
      <c r="D107" s="10">
        <v>57.14</v>
      </c>
      <c r="E107" s="10">
        <v>21.8</v>
      </c>
      <c r="F107" s="11">
        <v>1</v>
      </c>
      <c r="G107" s="10">
        <v>21</v>
      </c>
    </row>
    <row r="108" spans="1:7" x14ac:dyDescent="0.2">
      <c r="A108" s="44">
        <v>7</v>
      </c>
      <c r="B108" s="7">
        <v>27.9</v>
      </c>
      <c r="C108" s="38">
        <v>2.2020486111111112E-2</v>
      </c>
      <c r="D108" s="7">
        <v>50</v>
      </c>
      <c r="E108" s="7">
        <v>17.2</v>
      </c>
      <c r="F108" s="8">
        <v>1</v>
      </c>
      <c r="G108" s="7">
        <v>18</v>
      </c>
    </row>
    <row r="109" spans="1:7" x14ac:dyDescent="0.2">
      <c r="A109" s="45">
        <v>8</v>
      </c>
      <c r="B109" s="10">
        <v>31.5</v>
      </c>
      <c r="C109" s="39">
        <v>2.0673032407407407E-2</v>
      </c>
      <c r="D109" s="10">
        <v>45.45</v>
      </c>
      <c r="E109" s="10">
        <v>18.2</v>
      </c>
      <c r="F109" s="11">
        <v>1</v>
      </c>
      <c r="G109" s="10">
        <v>20</v>
      </c>
    </row>
    <row r="110" spans="1:7" x14ac:dyDescent="0.2">
      <c r="A110" s="44">
        <v>9</v>
      </c>
      <c r="B110" s="7">
        <v>26.5</v>
      </c>
      <c r="C110" s="38">
        <v>2.2529398148148149E-2</v>
      </c>
      <c r="D110" s="7">
        <v>46.15</v>
      </c>
      <c r="E110" s="7">
        <v>14.5</v>
      </c>
      <c r="F110" s="8">
        <v>1</v>
      </c>
      <c r="G110" s="7">
        <v>15</v>
      </c>
    </row>
    <row r="111" spans="1:7" x14ac:dyDescent="0.2">
      <c r="A111" s="45">
        <v>10</v>
      </c>
      <c r="B111" s="10">
        <v>39.299999999999997</v>
      </c>
      <c r="C111" s="39">
        <v>2.0873842592592593E-2</v>
      </c>
      <c r="D111" s="10">
        <v>51.61</v>
      </c>
      <c r="E111" s="10">
        <v>14.7</v>
      </c>
      <c r="F111" s="11">
        <v>1</v>
      </c>
      <c r="G111" s="10">
        <v>27</v>
      </c>
    </row>
    <row r="112" spans="1:7" x14ac:dyDescent="0.2">
      <c r="A112" s="44">
        <v>11</v>
      </c>
      <c r="B112" s="7">
        <v>41</v>
      </c>
      <c r="C112" s="38">
        <v>1.9996412037037035E-2</v>
      </c>
      <c r="D112" s="7">
        <v>52.27</v>
      </c>
      <c r="E112" s="7">
        <v>24.8</v>
      </c>
      <c r="F112" s="8">
        <v>1</v>
      </c>
      <c r="G112" s="7">
        <v>21</v>
      </c>
    </row>
    <row r="113" spans="1:7" x14ac:dyDescent="0.2">
      <c r="A113" s="45">
        <v>12</v>
      </c>
      <c r="B113" s="10">
        <v>38.799999999999997</v>
      </c>
      <c r="C113" s="39">
        <v>2.2252546296296295E-2</v>
      </c>
      <c r="D113" s="10">
        <v>48.94</v>
      </c>
      <c r="E113" s="10">
        <v>22.2</v>
      </c>
      <c r="F113" s="11">
        <v>1</v>
      </c>
      <c r="G113" s="10">
        <v>12</v>
      </c>
    </row>
    <row r="114" spans="1:7" x14ac:dyDescent="0.2">
      <c r="A114" s="44">
        <v>13</v>
      </c>
      <c r="B114" s="7">
        <v>31.2</v>
      </c>
      <c r="C114" s="38">
        <v>2.289444444444445E-2</v>
      </c>
      <c r="D114" s="7">
        <v>66.67</v>
      </c>
      <c r="E114" s="7">
        <v>23.8</v>
      </c>
      <c r="F114" s="8">
        <v>0</v>
      </c>
      <c r="G114" s="7">
        <v>13</v>
      </c>
    </row>
    <row r="115" spans="1:7" x14ac:dyDescent="0.2">
      <c r="A115" s="45">
        <v>14</v>
      </c>
      <c r="B115" s="10">
        <v>29.8</v>
      </c>
      <c r="C115" s="39">
        <v>2.1230439814814817E-2</v>
      </c>
      <c r="D115" s="10">
        <v>61.11</v>
      </c>
      <c r="E115" s="10">
        <v>17.5</v>
      </c>
      <c r="F115" s="11">
        <v>1</v>
      </c>
      <c r="G115" s="10">
        <v>17</v>
      </c>
    </row>
    <row r="116" spans="1:7" x14ac:dyDescent="0.2">
      <c r="A116" s="44">
        <v>15</v>
      </c>
      <c r="B116" s="7">
        <v>38.200000000000003</v>
      </c>
      <c r="C116" s="38">
        <v>2.157048611111111E-2</v>
      </c>
      <c r="D116" s="7">
        <v>64.290000000000006</v>
      </c>
      <c r="E116" s="7">
        <v>25.5</v>
      </c>
      <c r="F116" s="8">
        <v>1</v>
      </c>
      <c r="G116" s="7">
        <v>20</v>
      </c>
    </row>
    <row r="117" spans="1:7" x14ac:dyDescent="0.2">
      <c r="A117" s="45">
        <v>16</v>
      </c>
      <c r="B117" s="10">
        <v>34.9</v>
      </c>
      <c r="C117" s="39">
        <v>1.943460648148148E-2</v>
      </c>
      <c r="D117" s="10">
        <v>29.55</v>
      </c>
      <c r="E117" s="10">
        <v>15.4</v>
      </c>
      <c r="F117" s="11">
        <v>0</v>
      </c>
      <c r="G117" s="10">
        <v>21</v>
      </c>
    </row>
    <row r="118" spans="1:7" x14ac:dyDescent="0.2">
      <c r="A118" s="44">
        <v>17</v>
      </c>
      <c r="B118" s="7">
        <v>31.7</v>
      </c>
      <c r="C118" s="38">
        <v>2.1004282407407409E-2</v>
      </c>
      <c r="D118" s="7">
        <v>55.1</v>
      </c>
      <c r="E118" s="7">
        <v>22.5</v>
      </c>
      <c r="F118" s="8">
        <v>1</v>
      </c>
      <c r="G118" s="7">
        <v>15</v>
      </c>
    </row>
    <row r="119" spans="1:7" x14ac:dyDescent="0.2">
      <c r="A119" s="45">
        <v>18</v>
      </c>
      <c r="B119" s="10">
        <v>30.2</v>
      </c>
      <c r="C119" s="39">
        <v>2.0585879629629631E-2</v>
      </c>
      <c r="D119" s="10">
        <v>58.82</v>
      </c>
      <c r="E119" s="10">
        <v>15.8</v>
      </c>
      <c r="F119" s="11">
        <v>0</v>
      </c>
      <c r="G119" s="10">
        <v>16</v>
      </c>
    </row>
    <row r="120" spans="1:7" x14ac:dyDescent="0.2">
      <c r="A120" s="44">
        <v>19</v>
      </c>
      <c r="B120" s="7">
        <v>35.700000000000003</v>
      </c>
      <c r="C120" s="38">
        <v>2.1409374999999998E-2</v>
      </c>
      <c r="D120" s="7">
        <v>58.62</v>
      </c>
      <c r="E120" s="7">
        <v>29.2</v>
      </c>
      <c r="F120" s="8">
        <v>1</v>
      </c>
      <c r="G120" s="7">
        <v>16</v>
      </c>
    </row>
    <row r="121" spans="1:7" x14ac:dyDescent="0.2">
      <c r="A121" s="45">
        <v>20</v>
      </c>
      <c r="B121" s="10">
        <v>32.5</v>
      </c>
      <c r="C121" s="39">
        <v>2.2255208333333332E-2</v>
      </c>
      <c r="D121" s="10">
        <v>63.41</v>
      </c>
      <c r="E121" s="10">
        <v>20.6</v>
      </c>
      <c r="F121" s="11">
        <v>1</v>
      </c>
      <c r="G121" s="10">
        <v>23</v>
      </c>
    </row>
    <row r="122" spans="1:7" x14ac:dyDescent="0.2">
      <c r="A122" s="44">
        <v>21</v>
      </c>
      <c r="B122" s="7">
        <v>34.799999999999997</v>
      </c>
      <c r="C122" s="38">
        <v>2.2399421296296296E-2</v>
      </c>
      <c r="D122" s="7">
        <v>55.26</v>
      </c>
      <c r="E122" s="7">
        <v>21.3</v>
      </c>
      <c r="F122" s="8">
        <v>0</v>
      </c>
      <c r="G122" s="7">
        <v>24</v>
      </c>
    </row>
    <row r="123" spans="1:7" x14ac:dyDescent="0.2">
      <c r="A123" s="45">
        <v>22</v>
      </c>
      <c r="B123" s="10">
        <v>38.6</v>
      </c>
      <c r="C123" s="39">
        <v>1.8892245370370372E-2</v>
      </c>
      <c r="D123" s="10">
        <v>44.23</v>
      </c>
      <c r="E123" s="10">
        <v>19.899999999999999</v>
      </c>
      <c r="F123" s="11">
        <v>0</v>
      </c>
      <c r="G123" s="10">
        <v>20</v>
      </c>
    </row>
    <row r="124" spans="1:7" x14ac:dyDescent="0.2">
      <c r="A124" s="44">
        <v>23</v>
      </c>
      <c r="B124" s="7">
        <v>30</v>
      </c>
      <c r="C124" s="38">
        <v>2.0961574074074073E-2</v>
      </c>
      <c r="D124" s="7">
        <v>43.59</v>
      </c>
      <c r="E124" s="7">
        <v>18.7</v>
      </c>
      <c r="F124" s="8">
        <v>1</v>
      </c>
      <c r="G124" s="7">
        <v>18</v>
      </c>
    </row>
    <row r="125" spans="1:7" x14ac:dyDescent="0.2">
      <c r="A125" s="45">
        <v>24</v>
      </c>
      <c r="B125" s="10">
        <v>29.8</v>
      </c>
      <c r="C125" s="39">
        <v>2.0953472222222224E-2</v>
      </c>
      <c r="D125" s="10">
        <v>45.24</v>
      </c>
      <c r="E125" s="10">
        <v>19.8</v>
      </c>
      <c r="F125" s="11">
        <v>1</v>
      </c>
      <c r="G125" s="10">
        <v>27</v>
      </c>
    </row>
    <row r="126" spans="1:7" x14ac:dyDescent="0.2">
      <c r="A126" s="44">
        <v>25</v>
      </c>
      <c r="B126" s="7">
        <v>34.799999999999997</v>
      </c>
      <c r="C126" s="38">
        <v>2.1499652777777777E-2</v>
      </c>
      <c r="D126" s="7">
        <v>54.55</v>
      </c>
      <c r="E126" s="7">
        <v>27.6</v>
      </c>
      <c r="F126" s="8">
        <v>1</v>
      </c>
      <c r="G126" s="7">
        <v>35</v>
      </c>
    </row>
    <row r="127" spans="1:7" x14ac:dyDescent="0.2">
      <c r="A127" s="45">
        <v>1</v>
      </c>
      <c r="B127" s="10">
        <v>34.799999999999997</v>
      </c>
      <c r="C127" s="39">
        <v>2.2776041666666667E-2</v>
      </c>
      <c r="D127" s="10">
        <v>35.29</v>
      </c>
      <c r="E127" s="10">
        <v>8.1999999999999993</v>
      </c>
      <c r="F127" s="11">
        <v>1</v>
      </c>
      <c r="G127" s="10">
        <v>12</v>
      </c>
    </row>
    <row r="128" spans="1:7" x14ac:dyDescent="0.2">
      <c r="A128" s="44">
        <v>2</v>
      </c>
      <c r="B128" s="7">
        <v>35.700000000000003</v>
      </c>
      <c r="C128" s="38">
        <v>2.1865856481481483E-2</v>
      </c>
      <c r="D128" s="7">
        <v>46.15</v>
      </c>
      <c r="E128" s="7">
        <v>11.3</v>
      </c>
      <c r="F128" s="8">
        <v>1</v>
      </c>
      <c r="G128" s="7">
        <v>10</v>
      </c>
    </row>
    <row r="129" spans="1:7" x14ac:dyDescent="0.2">
      <c r="A129" s="45">
        <v>3</v>
      </c>
      <c r="B129" s="10">
        <v>48.7</v>
      </c>
      <c r="C129" s="39">
        <v>1.8260300925925926E-2</v>
      </c>
      <c r="D129" s="10">
        <v>50</v>
      </c>
      <c r="E129" s="10">
        <v>26.8</v>
      </c>
      <c r="F129" s="11">
        <v>1</v>
      </c>
      <c r="G129" s="10">
        <v>23</v>
      </c>
    </row>
    <row r="130" spans="1:7" x14ac:dyDescent="0.2">
      <c r="A130" s="44">
        <v>4</v>
      </c>
      <c r="B130" s="7">
        <v>46.1</v>
      </c>
      <c r="C130" s="38">
        <v>1.7359490740740741E-2</v>
      </c>
      <c r="D130" s="7">
        <v>59.62</v>
      </c>
      <c r="E130" s="7">
        <v>24.6</v>
      </c>
      <c r="F130" s="8">
        <v>1</v>
      </c>
      <c r="G130" s="7">
        <v>20</v>
      </c>
    </row>
    <row r="131" spans="1:7" x14ac:dyDescent="0.2">
      <c r="A131" s="45">
        <v>5</v>
      </c>
      <c r="B131" s="10">
        <v>36.799999999999997</v>
      </c>
      <c r="C131" s="39">
        <v>1.9503240740740741E-2</v>
      </c>
      <c r="D131" s="10">
        <v>60</v>
      </c>
      <c r="E131" s="10">
        <v>22.2</v>
      </c>
      <c r="F131" s="11">
        <v>1</v>
      </c>
      <c r="G131" s="10">
        <v>20</v>
      </c>
    </row>
    <row r="132" spans="1:7" x14ac:dyDescent="0.2">
      <c r="A132" s="44">
        <v>6</v>
      </c>
      <c r="B132" s="7">
        <v>35.799999999999997</v>
      </c>
      <c r="C132" s="38">
        <v>2.2368865740740738E-2</v>
      </c>
      <c r="D132" s="7">
        <v>60.87</v>
      </c>
      <c r="E132" s="7">
        <v>23.6</v>
      </c>
      <c r="F132" s="8">
        <v>1</v>
      </c>
      <c r="G132" s="7">
        <v>18</v>
      </c>
    </row>
    <row r="133" spans="1:7" x14ac:dyDescent="0.2">
      <c r="A133" s="45">
        <v>7</v>
      </c>
      <c r="B133" s="10">
        <v>43.2</v>
      </c>
      <c r="C133" s="39">
        <v>2.3459722222222219E-2</v>
      </c>
      <c r="D133" s="10">
        <v>60</v>
      </c>
      <c r="E133" s="10">
        <v>21.9</v>
      </c>
      <c r="F133" s="11">
        <v>1</v>
      </c>
      <c r="G133" s="10">
        <v>17</v>
      </c>
    </row>
    <row r="134" spans="1:7" x14ac:dyDescent="0.2">
      <c r="A134" s="44">
        <v>8</v>
      </c>
      <c r="B134" s="7">
        <v>44.2</v>
      </c>
      <c r="C134" s="38">
        <v>2.2540972222222223E-2</v>
      </c>
      <c r="D134" s="7">
        <v>56</v>
      </c>
      <c r="E134" s="7">
        <v>18.7</v>
      </c>
      <c r="F134" s="8">
        <v>0</v>
      </c>
      <c r="G134" s="7">
        <v>18</v>
      </c>
    </row>
    <row r="135" spans="1:7" x14ac:dyDescent="0.2">
      <c r="A135" s="45">
        <v>9</v>
      </c>
      <c r="B135" s="10">
        <v>30.1</v>
      </c>
      <c r="C135" s="39">
        <v>2.1928472222222221E-2</v>
      </c>
      <c r="D135" s="10">
        <v>47.62</v>
      </c>
      <c r="E135" s="10">
        <v>18.399999999999999</v>
      </c>
      <c r="F135" s="11">
        <v>1</v>
      </c>
      <c r="G135" s="10">
        <v>27</v>
      </c>
    </row>
    <row r="136" spans="1:7" x14ac:dyDescent="0.2">
      <c r="A136" s="44">
        <v>10</v>
      </c>
      <c r="B136" s="7">
        <v>44.1</v>
      </c>
      <c r="C136" s="38">
        <v>2.2380092592592594E-2</v>
      </c>
      <c r="D136" s="7">
        <v>59.38</v>
      </c>
      <c r="E136" s="7">
        <v>19</v>
      </c>
      <c r="F136" s="8">
        <v>1</v>
      </c>
      <c r="G136" s="7">
        <v>10</v>
      </c>
    </row>
    <row r="137" spans="1:7" x14ac:dyDescent="0.2">
      <c r="A137" s="45">
        <v>11</v>
      </c>
      <c r="B137" s="10">
        <v>31</v>
      </c>
      <c r="C137" s="39">
        <v>2.1698032407407405E-2</v>
      </c>
      <c r="D137" s="10">
        <v>57.89</v>
      </c>
      <c r="E137" s="10">
        <v>18.399999999999999</v>
      </c>
      <c r="F137" s="11">
        <v>1</v>
      </c>
      <c r="G137" s="10">
        <v>18</v>
      </c>
    </row>
    <row r="138" spans="1:7" x14ac:dyDescent="0.2">
      <c r="A138" s="44">
        <v>12</v>
      </c>
      <c r="B138" s="7">
        <v>33.299999999999997</v>
      </c>
      <c r="C138" s="38">
        <v>2.1703125E-2</v>
      </c>
      <c r="D138" s="7">
        <v>51.22</v>
      </c>
      <c r="E138" s="7">
        <v>17.399999999999999</v>
      </c>
      <c r="F138" s="8">
        <v>1</v>
      </c>
      <c r="G138" s="7">
        <v>22</v>
      </c>
    </row>
    <row r="139" spans="1:7" x14ac:dyDescent="0.2">
      <c r="A139" s="45">
        <v>13</v>
      </c>
      <c r="B139" s="10">
        <v>45.3</v>
      </c>
      <c r="C139" s="39">
        <v>1.9202314814814814E-2</v>
      </c>
      <c r="D139" s="10">
        <v>70.150000000000006</v>
      </c>
      <c r="E139" s="10">
        <v>37.200000000000003</v>
      </c>
      <c r="F139" s="11">
        <v>1</v>
      </c>
      <c r="G139" s="10">
        <v>24</v>
      </c>
    </row>
    <row r="140" spans="1:7" x14ac:dyDescent="0.2">
      <c r="A140" s="44">
        <v>14</v>
      </c>
      <c r="B140" s="7">
        <v>40.799999999999997</v>
      </c>
      <c r="C140" s="38">
        <v>2.1063078703703705E-2</v>
      </c>
      <c r="D140" s="7">
        <v>48.39</v>
      </c>
      <c r="E140" s="7">
        <v>21.5</v>
      </c>
      <c r="F140" s="8">
        <v>0</v>
      </c>
      <c r="G140" s="7">
        <v>21</v>
      </c>
    </row>
    <row r="141" spans="1:7" x14ac:dyDescent="0.2">
      <c r="A141" s="45">
        <v>15</v>
      </c>
      <c r="B141" s="10">
        <v>31.8</v>
      </c>
      <c r="C141" s="39">
        <v>2.3558564814814817E-2</v>
      </c>
      <c r="D141" s="10">
        <v>62.22</v>
      </c>
      <c r="E141" s="10">
        <v>27.9</v>
      </c>
      <c r="F141" s="11">
        <v>1</v>
      </c>
      <c r="G141" s="10">
        <v>15</v>
      </c>
    </row>
    <row r="142" spans="1:7" x14ac:dyDescent="0.2">
      <c r="A142" s="44">
        <v>16</v>
      </c>
      <c r="B142" s="7">
        <v>39.5</v>
      </c>
      <c r="C142" s="38">
        <v>2.0816435185185184E-2</v>
      </c>
      <c r="D142" s="7">
        <v>52.63</v>
      </c>
      <c r="E142" s="7">
        <v>22.1</v>
      </c>
      <c r="F142" s="8">
        <v>1</v>
      </c>
      <c r="G142" s="7">
        <v>29</v>
      </c>
    </row>
    <row r="143" spans="1:7" x14ac:dyDescent="0.2">
      <c r="A143" s="45">
        <v>17</v>
      </c>
      <c r="B143" s="10">
        <v>37.6</v>
      </c>
      <c r="C143" s="39">
        <v>1.9675925925925927E-2</v>
      </c>
      <c r="D143" s="10">
        <v>58.33</v>
      </c>
      <c r="E143" s="10">
        <v>26.8</v>
      </c>
      <c r="F143" s="11">
        <v>0</v>
      </c>
      <c r="G143" s="10">
        <v>22</v>
      </c>
    </row>
    <row r="144" spans="1:7" x14ac:dyDescent="0.2">
      <c r="A144" s="44">
        <v>18</v>
      </c>
      <c r="B144" s="7">
        <v>49.3</v>
      </c>
      <c r="C144" s="38">
        <v>1.8437499999999999E-2</v>
      </c>
      <c r="D144" s="7">
        <v>59.18</v>
      </c>
      <c r="E144" s="7">
        <v>22.4</v>
      </c>
      <c r="F144" s="8">
        <v>0</v>
      </c>
      <c r="G144" s="7">
        <v>15</v>
      </c>
    </row>
    <row r="145" spans="1:7" x14ac:dyDescent="0.2">
      <c r="A145" s="45">
        <v>19</v>
      </c>
      <c r="B145" s="10">
        <v>32</v>
      </c>
      <c r="C145" s="39">
        <v>2.3365625000000001E-2</v>
      </c>
      <c r="D145" s="10">
        <v>65.63</v>
      </c>
      <c r="E145" s="10">
        <v>20.6</v>
      </c>
      <c r="F145" s="11">
        <v>1</v>
      </c>
      <c r="G145" s="10">
        <v>25</v>
      </c>
    </row>
    <row r="146" spans="1:7" x14ac:dyDescent="0.2">
      <c r="A146" s="44">
        <v>20</v>
      </c>
      <c r="B146" s="7">
        <v>29.3</v>
      </c>
      <c r="C146" s="38">
        <v>1.9231250000000002E-2</v>
      </c>
      <c r="D146" s="7">
        <v>43.48</v>
      </c>
      <c r="E146" s="7">
        <v>22.7</v>
      </c>
      <c r="F146" s="8">
        <v>0</v>
      </c>
      <c r="G146" s="7">
        <v>24</v>
      </c>
    </row>
    <row r="147" spans="1:7" x14ac:dyDescent="0.2">
      <c r="A147" s="45">
        <v>21</v>
      </c>
      <c r="B147" s="10">
        <v>27.9</v>
      </c>
      <c r="C147" s="39">
        <v>2.3688773148148153E-2</v>
      </c>
      <c r="D147" s="10">
        <v>52.5</v>
      </c>
      <c r="E147" s="10">
        <v>17.600000000000001</v>
      </c>
      <c r="F147" s="11">
        <v>1</v>
      </c>
      <c r="G147" s="10">
        <v>18</v>
      </c>
    </row>
    <row r="148" spans="1:7" x14ac:dyDescent="0.2">
      <c r="A148" s="44">
        <v>22</v>
      </c>
      <c r="B148" s="7">
        <v>33.6</v>
      </c>
      <c r="C148" s="38">
        <v>1.9502314814814816E-2</v>
      </c>
      <c r="D148" s="7">
        <v>55.77</v>
      </c>
      <c r="E148" s="7">
        <v>29.3</v>
      </c>
      <c r="F148" s="8">
        <v>1</v>
      </c>
      <c r="G148" s="7">
        <v>24</v>
      </c>
    </row>
    <row r="149" spans="1:7" x14ac:dyDescent="0.2">
      <c r="A149" s="45">
        <v>23</v>
      </c>
      <c r="B149" s="10">
        <v>30.6</v>
      </c>
      <c r="C149" s="39">
        <v>2.0729166666666667E-2</v>
      </c>
      <c r="D149" s="10">
        <v>54.29</v>
      </c>
      <c r="E149" s="10">
        <v>15.1</v>
      </c>
      <c r="F149" s="11">
        <v>1</v>
      </c>
      <c r="G149" s="10">
        <v>19</v>
      </c>
    </row>
    <row r="150" spans="1:7" x14ac:dyDescent="0.2">
      <c r="A150" s="44">
        <v>24</v>
      </c>
      <c r="B150" s="7">
        <v>29.2</v>
      </c>
      <c r="C150" s="38">
        <v>1.978726851851852E-2</v>
      </c>
      <c r="D150" s="7">
        <v>69.23</v>
      </c>
      <c r="E150" s="7">
        <v>23.4</v>
      </c>
      <c r="F150" s="8">
        <v>1</v>
      </c>
      <c r="G150" s="7">
        <v>19</v>
      </c>
    </row>
    <row r="151" spans="1:7" x14ac:dyDescent="0.2">
      <c r="A151" s="45">
        <v>25</v>
      </c>
      <c r="B151" s="10">
        <v>33.299999999999997</v>
      </c>
      <c r="C151" s="39">
        <v>1.9431944444444443E-2</v>
      </c>
      <c r="D151" s="10">
        <v>55.56</v>
      </c>
      <c r="E151" s="10">
        <v>20.3</v>
      </c>
      <c r="F151" s="11">
        <v>0</v>
      </c>
      <c r="G151" s="10">
        <v>21</v>
      </c>
    </row>
    <row r="152" spans="1:7" x14ac:dyDescent="0.2">
      <c r="A152" s="44">
        <v>1</v>
      </c>
      <c r="B152" s="7">
        <v>41.2</v>
      </c>
      <c r="C152" s="38">
        <v>2.0346412037037038E-2</v>
      </c>
      <c r="D152" s="7">
        <v>60</v>
      </c>
      <c r="E152" s="7">
        <v>24.1</v>
      </c>
      <c r="F152" s="8">
        <v>1</v>
      </c>
      <c r="G152" s="7">
        <v>17</v>
      </c>
    </row>
    <row r="153" spans="1:7" x14ac:dyDescent="0.2">
      <c r="A153" s="45">
        <v>2</v>
      </c>
      <c r="B153" s="10">
        <v>41.6</v>
      </c>
      <c r="C153" s="39">
        <v>2.3412615740740741E-2</v>
      </c>
      <c r="D153" s="10">
        <v>63.16</v>
      </c>
      <c r="E153" s="10">
        <v>12</v>
      </c>
      <c r="F153" s="11">
        <v>0</v>
      </c>
      <c r="G153" s="10">
        <v>13</v>
      </c>
    </row>
    <row r="154" spans="1:7" x14ac:dyDescent="0.2">
      <c r="A154" s="44">
        <v>3</v>
      </c>
      <c r="B154" s="7">
        <v>47</v>
      </c>
      <c r="C154" s="38">
        <v>1.9376736111111112E-2</v>
      </c>
      <c r="D154" s="7">
        <v>42.5</v>
      </c>
      <c r="E154" s="7">
        <v>18.7</v>
      </c>
      <c r="F154" s="8">
        <v>1</v>
      </c>
      <c r="G154" s="7">
        <v>24</v>
      </c>
    </row>
    <row r="155" spans="1:7" x14ac:dyDescent="0.2">
      <c r="A155" s="45">
        <v>4</v>
      </c>
      <c r="B155" s="10">
        <v>40.299999999999997</v>
      </c>
      <c r="C155" s="39">
        <v>2.400023148148148E-2</v>
      </c>
      <c r="D155" s="10">
        <v>65.52</v>
      </c>
      <c r="E155" s="10">
        <v>17.399999999999999</v>
      </c>
      <c r="F155" s="11">
        <v>1</v>
      </c>
      <c r="G155" s="10">
        <v>17</v>
      </c>
    </row>
    <row r="156" spans="1:7" x14ac:dyDescent="0.2">
      <c r="A156" s="44">
        <v>5</v>
      </c>
      <c r="B156" s="7">
        <v>38.799999999999997</v>
      </c>
      <c r="C156" s="38">
        <v>2.2345949074074074E-2</v>
      </c>
      <c r="D156" s="7">
        <v>50</v>
      </c>
      <c r="E156" s="7">
        <v>14.3</v>
      </c>
      <c r="F156" s="8">
        <v>1</v>
      </c>
      <c r="G156" s="7">
        <v>15</v>
      </c>
    </row>
    <row r="157" spans="1:7" x14ac:dyDescent="0.2">
      <c r="A157" s="45">
        <v>6</v>
      </c>
      <c r="B157" s="10">
        <v>37.200000000000003</v>
      </c>
      <c r="C157" s="39">
        <v>2.1037500000000001E-2</v>
      </c>
      <c r="D157" s="10">
        <v>47.22</v>
      </c>
      <c r="E157" s="10">
        <v>21.8</v>
      </c>
      <c r="F157" s="11">
        <v>1</v>
      </c>
      <c r="G157" s="10">
        <v>18</v>
      </c>
    </row>
    <row r="158" spans="1:7" x14ac:dyDescent="0.2">
      <c r="A158" s="44">
        <v>7</v>
      </c>
      <c r="B158" s="7">
        <v>41.5</v>
      </c>
      <c r="C158" s="38">
        <v>2.2884606481481481E-2</v>
      </c>
      <c r="D158" s="7">
        <v>61.76</v>
      </c>
      <c r="E158" s="7">
        <v>20.5</v>
      </c>
      <c r="F158" s="8">
        <v>1</v>
      </c>
      <c r="G158" s="7">
        <v>9</v>
      </c>
    </row>
    <row r="159" spans="1:7" x14ac:dyDescent="0.2">
      <c r="A159" s="45">
        <v>8</v>
      </c>
      <c r="B159" s="10">
        <v>29.7</v>
      </c>
      <c r="C159" s="39">
        <v>2.0950810185185183E-2</v>
      </c>
      <c r="D159" s="10">
        <v>65.63</v>
      </c>
      <c r="E159" s="10">
        <v>18.2</v>
      </c>
      <c r="F159" s="11">
        <v>1</v>
      </c>
      <c r="G159" s="10">
        <v>24</v>
      </c>
    </row>
    <row r="160" spans="1:7" x14ac:dyDescent="0.2">
      <c r="A160" s="44">
        <v>9</v>
      </c>
      <c r="B160" s="7">
        <v>45.1</v>
      </c>
      <c r="C160" s="38">
        <v>2.1270486111111112E-2</v>
      </c>
      <c r="D160" s="7">
        <v>41.38</v>
      </c>
      <c r="E160" s="7">
        <v>12.8</v>
      </c>
      <c r="F160" s="8">
        <v>0</v>
      </c>
      <c r="G160" s="7">
        <v>19</v>
      </c>
    </row>
    <row r="161" spans="1:7" x14ac:dyDescent="0.2">
      <c r="A161" s="45">
        <v>10</v>
      </c>
      <c r="B161" s="10">
        <v>35.700000000000003</v>
      </c>
      <c r="C161" s="39">
        <v>2.1366666666666669E-2</v>
      </c>
      <c r="D161" s="10">
        <v>32.26</v>
      </c>
      <c r="E161" s="10">
        <v>13.5</v>
      </c>
      <c r="F161" s="11">
        <v>1</v>
      </c>
      <c r="G161" s="10">
        <v>15</v>
      </c>
    </row>
    <row r="162" spans="1:7" x14ac:dyDescent="0.2">
      <c r="A162" s="44">
        <v>11</v>
      </c>
      <c r="B162" s="7">
        <v>41</v>
      </c>
      <c r="C162" s="38">
        <v>2.3831828703703702E-2</v>
      </c>
      <c r="D162" s="7">
        <v>46</v>
      </c>
      <c r="E162" s="7">
        <v>21.4</v>
      </c>
      <c r="F162" s="8">
        <v>0</v>
      </c>
      <c r="G162" s="7">
        <v>19</v>
      </c>
    </row>
    <row r="163" spans="1:7" x14ac:dyDescent="0.2">
      <c r="A163" s="45">
        <v>12</v>
      </c>
      <c r="B163" s="10">
        <v>36.5</v>
      </c>
      <c r="C163" s="39">
        <v>2.0890277777777775E-2</v>
      </c>
      <c r="D163" s="10">
        <v>56.41</v>
      </c>
      <c r="E163" s="10">
        <v>23.4</v>
      </c>
      <c r="F163" s="11">
        <v>1</v>
      </c>
      <c r="G163" s="10">
        <v>24</v>
      </c>
    </row>
    <row r="164" spans="1:7" x14ac:dyDescent="0.2">
      <c r="A164" s="44">
        <v>13</v>
      </c>
      <c r="B164" s="7">
        <v>44.2</v>
      </c>
      <c r="C164" s="38">
        <v>1.9225462962962962E-2</v>
      </c>
      <c r="D164" s="7">
        <v>59.57</v>
      </c>
      <c r="E164" s="7">
        <v>26.4</v>
      </c>
      <c r="F164" s="8">
        <v>1</v>
      </c>
      <c r="G164" s="7">
        <v>22</v>
      </c>
    </row>
    <row r="165" spans="1:7" x14ac:dyDescent="0.2">
      <c r="A165" s="45">
        <v>14</v>
      </c>
      <c r="B165" s="10">
        <v>29.5</v>
      </c>
      <c r="C165" s="39">
        <v>2.1186805555555552E-2</v>
      </c>
      <c r="D165" s="10">
        <v>55.56</v>
      </c>
      <c r="E165" s="10">
        <v>22.3</v>
      </c>
      <c r="F165" s="11">
        <v>1</v>
      </c>
      <c r="G165" s="10">
        <v>19</v>
      </c>
    </row>
    <row r="166" spans="1:7" x14ac:dyDescent="0.2">
      <c r="A166" s="44">
        <v>15</v>
      </c>
      <c r="B166" s="7">
        <v>29</v>
      </c>
      <c r="C166" s="38">
        <v>2.1899074074074074E-2</v>
      </c>
      <c r="D166" s="7">
        <v>42.5</v>
      </c>
      <c r="E166" s="7">
        <v>19.8</v>
      </c>
      <c r="F166" s="8">
        <v>1</v>
      </c>
      <c r="G166" s="7">
        <v>21</v>
      </c>
    </row>
    <row r="167" spans="1:7" x14ac:dyDescent="0.2">
      <c r="A167" s="45">
        <v>16</v>
      </c>
      <c r="B167" s="10">
        <v>33.9</v>
      </c>
      <c r="C167" s="39">
        <v>2.2180092592592595E-2</v>
      </c>
      <c r="D167" s="10">
        <v>58.54</v>
      </c>
      <c r="E167" s="10">
        <v>20.6</v>
      </c>
      <c r="F167" s="11">
        <v>1</v>
      </c>
      <c r="G167" s="10">
        <v>13</v>
      </c>
    </row>
    <row r="168" spans="1:7" x14ac:dyDescent="0.2">
      <c r="A168" s="44">
        <v>17</v>
      </c>
      <c r="B168" s="7">
        <v>31.4</v>
      </c>
      <c r="C168" s="38">
        <v>2.0725810185185187E-2</v>
      </c>
      <c r="D168" s="7">
        <v>43.75</v>
      </c>
      <c r="E168" s="7">
        <v>19.600000000000001</v>
      </c>
      <c r="F168" s="8">
        <v>1</v>
      </c>
      <c r="G168" s="7">
        <v>23</v>
      </c>
    </row>
    <row r="169" spans="1:7" x14ac:dyDescent="0.2">
      <c r="A169" s="45">
        <v>18</v>
      </c>
      <c r="B169" s="10">
        <v>29.8</v>
      </c>
      <c r="C169" s="39">
        <v>2.0233217592592594E-2</v>
      </c>
      <c r="D169" s="10">
        <v>40</v>
      </c>
      <c r="E169" s="10">
        <v>16.100000000000001</v>
      </c>
      <c r="F169" s="11">
        <v>1</v>
      </c>
      <c r="G169" s="10">
        <v>18</v>
      </c>
    </row>
    <row r="170" spans="1:7" x14ac:dyDescent="0.2">
      <c r="A170" s="44">
        <v>19</v>
      </c>
      <c r="B170" s="7">
        <v>31.2</v>
      </c>
      <c r="C170" s="38">
        <v>2.0594675925925926E-2</v>
      </c>
      <c r="D170" s="7">
        <v>47.92</v>
      </c>
      <c r="E170" s="7">
        <v>21.9</v>
      </c>
      <c r="F170" s="8">
        <v>1</v>
      </c>
      <c r="G170" s="7">
        <v>30</v>
      </c>
    </row>
    <row r="171" spans="1:7" x14ac:dyDescent="0.2">
      <c r="A171" s="45">
        <v>20</v>
      </c>
      <c r="B171" s="10">
        <v>30.9</v>
      </c>
      <c r="C171" s="39">
        <v>2.1717939814814815E-2</v>
      </c>
      <c r="D171" s="10">
        <v>44.74</v>
      </c>
      <c r="E171" s="10">
        <v>17.399999999999999</v>
      </c>
      <c r="F171" s="11">
        <v>1</v>
      </c>
      <c r="G171" s="10">
        <v>24</v>
      </c>
    </row>
    <row r="172" spans="1:7" x14ac:dyDescent="0.2">
      <c r="A172" s="44">
        <v>21</v>
      </c>
      <c r="B172" s="7">
        <v>32.1</v>
      </c>
      <c r="C172" s="38">
        <v>2.2750462962962962E-2</v>
      </c>
      <c r="D172" s="7">
        <v>64.290000000000006</v>
      </c>
      <c r="E172" s="7">
        <v>17.100000000000001</v>
      </c>
      <c r="F172" s="8">
        <v>0</v>
      </c>
      <c r="G172" s="7">
        <v>19</v>
      </c>
    </row>
    <row r="173" spans="1:7" x14ac:dyDescent="0.2">
      <c r="A173" s="45">
        <v>22</v>
      </c>
      <c r="B173" s="10">
        <v>30.9</v>
      </c>
      <c r="C173" s="39">
        <v>2.1455902777777775E-2</v>
      </c>
      <c r="D173" s="10">
        <v>46</v>
      </c>
      <c r="E173" s="10">
        <v>23.1</v>
      </c>
      <c r="F173" s="11">
        <v>1</v>
      </c>
      <c r="G173" s="10">
        <v>26</v>
      </c>
    </row>
    <row r="174" spans="1:7" x14ac:dyDescent="0.2">
      <c r="A174" s="44">
        <v>23</v>
      </c>
      <c r="B174" s="7">
        <v>32.200000000000003</v>
      </c>
      <c r="C174" s="38">
        <v>2.0124652777777779E-2</v>
      </c>
      <c r="D174" s="7">
        <v>49.09</v>
      </c>
      <c r="E174" s="7">
        <v>22.2</v>
      </c>
      <c r="F174" s="8">
        <v>1</v>
      </c>
      <c r="G174" s="7">
        <v>14</v>
      </c>
    </row>
    <row r="175" spans="1:7" x14ac:dyDescent="0.2">
      <c r="A175" s="45">
        <v>24</v>
      </c>
      <c r="B175" s="10">
        <v>41.4</v>
      </c>
      <c r="C175" s="39">
        <v>2.1237500000000003E-2</v>
      </c>
      <c r="D175" s="10">
        <v>62.79</v>
      </c>
      <c r="E175" s="10">
        <v>30.3</v>
      </c>
      <c r="F175" s="11">
        <v>0</v>
      </c>
      <c r="G175" s="10">
        <v>19</v>
      </c>
    </row>
    <row r="176" spans="1:7" x14ac:dyDescent="0.2">
      <c r="A176" s="44">
        <v>25</v>
      </c>
      <c r="B176" s="7">
        <v>31.8</v>
      </c>
      <c r="C176" s="38">
        <v>2.2260532407407409E-2</v>
      </c>
      <c r="D176" s="7">
        <v>60.98</v>
      </c>
      <c r="E176" s="7">
        <v>21.3</v>
      </c>
      <c r="F176" s="8">
        <v>1</v>
      </c>
      <c r="G176" s="7">
        <v>22</v>
      </c>
    </row>
    <row r="177" spans="1:7" x14ac:dyDescent="0.2">
      <c r="A177" s="45">
        <v>1</v>
      </c>
      <c r="B177" s="10">
        <v>32.1</v>
      </c>
      <c r="C177" s="39">
        <v>2.327546296296296E-2</v>
      </c>
      <c r="D177" s="10">
        <v>33.33</v>
      </c>
      <c r="E177" s="10">
        <v>11.7</v>
      </c>
      <c r="F177" s="11">
        <v>1</v>
      </c>
      <c r="G177" s="10">
        <v>12</v>
      </c>
    </row>
    <row r="178" spans="1:7" x14ac:dyDescent="0.2">
      <c r="A178" s="44">
        <v>2</v>
      </c>
      <c r="B178" s="7">
        <v>39.299999999999997</v>
      </c>
      <c r="C178" s="38">
        <v>2.122523148148148E-2</v>
      </c>
      <c r="D178" s="7">
        <v>52.94</v>
      </c>
      <c r="E178" s="7">
        <v>16.7</v>
      </c>
      <c r="F178" s="8">
        <v>1</v>
      </c>
      <c r="G178" s="7">
        <v>28</v>
      </c>
    </row>
    <row r="179" spans="1:7" x14ac:dyDescent="0.2">
      <c r="A179" s="45">
        <v>3</v>
      </c>
      <c r="B179" s="10">
        <v>35.9</v>
      </c>
      <c r="C179" s="39">
        <v>2.144837962962963E-2</v>
      </c>
      <c r="D179" s="10">
        <v>42.42</v>
      </c>
      <c r="E179" s="10">
        <v>12.4</v>
      </c>
      <c r="F179" s="11">
        <v>1</v>
      </c>
      <c r="G179" s="10">
        <v>16</v>
      </c>
    </row>
    <row r="180" spans="1:7" x14ac:dyDescent="0.2">
      <c r="A180" s="44">
        <v>4</v>
      </c>
      <c r="B180" s="7">
        <v>42.2</v>
      </c>
      <c r="C180" s="38">
        <v>2.1231018518518521E-2</v>
      </c>
      <c r="D180" s="7">
        <v>58.62</v>
      </c>
      <c r="E180" s="7">
        <v>17.100000000000001</v>
      </c>
      <c r="F180" s="8">
        <v>0</v>
      </c>
      <c r="G180" s="7">
        <v>14</v>
      </c>
    </row>
    <row r="181" spans="1:7" x14ac:dyDescent="0.2">
      <c r="A181" s="45">
        <v>5</v>
      </c>
      <c r="B181" s="10">
        <v>29</v>
      </c>
      <c r="C181" s="39">
        <v>2.1871412037037036E-2</v>
      </c>
      <c r="D181" s="10">
        <v>55.56</v>
      </c>
      <c r="E181" s="10">
        <v>12.5</v>
      </c>
      <c r="F181" s="11">
        <v>1</v>
      </c>
      <c r="G181" s="10">
        <v>18</v>
      </c>
    </row>
    <row r="182" spans="1:7" x14ac:dyDescent="0.2">
      <c r="A182" s="44">
        <v>6</v>
      </c>
      <c r="B182" s="7">
        <v>38.299999999999997</v>
      </c>
      <c r="C182" s="38">
        <v>2.2078009259259259E-2</v>
      </c>
      <c r="D182" s="7">
        <v>50</v>
      </c>
      <c r="E182" s="7">
        <v>12.8</v>
      </c>
      <c r="F182" s="8">
        <v>0</v>
      </c>
      <c r="G182" s="7">
        <v>23</v>
      </c>
    </row>
    <row r="183" spans="1:7" x14ac:dyDescent="0.2">
      <c r="A183" s="45">
        <v>7</v>
      </c>
      <c r="B183" s="10">
        <v>23.2</v>
      </c>
      <c r="C183" s="39">
        <v>2.1510879629629626E-2</v>
      </c>
      <c r="D183" s="10">
        <v>48.28</v>
      </c>
      <c r="E183" s="10">
        <v>15.4</v>
      </c>
      <c r="F183" s="11">
        <v>1</v>
      </c>
      <c r="G183" s="10">
        <v>28</v>
      </c>
    </row>
    <row r="184" spans="1:7" x14ac:dyDescent="0.2">
      <c r="A184" s="44">
        <v>8</v>
      </c>
      <c r="B184" s="7">
        <v>38.6</v>
      </c>
      <c r="C184" s="38">
        <v>1.7898842592592595E-2</v>
      </c>
      <c r="D184" s="7">
        <v>71.430000000000007</v>
      </c>
      <c r="E184" s="7">
        <v>23.1</v>
      </c>
      <c r="F184" s="8">
        <v>0</v>
      </c>
      <c r="G184" s="7">
        <v>10</v>
      </c>
    </row>
    <row r="185" spans="1:7" x14ac:dyDescent="0.2">
      <c r="A185" s="45">
        <v>9</v>
      </c>
      <c r="B185" s="10">
        <v>28.8</v>
      </c>
      <c r="C185" s="39">
        <v>2.2646064814814817E-2</v>
      </c>
      <c r="D185" s="10">
        <v>37.93</v>
      </c>
      <c r="E185" s="10">
        <v>12.2</v>
      </c>
      <c r="F185" s="11">
        <v>1</v>
      </c>
      <c r="G185" s="10">
        <v>17</v>
      </c>
    </row>
    <row r="186" spans="1:7" x14ac:dyDescent="0.2">
      <c r="A186" s="44">
        <v>10</v>
      </c>
      <c r="B186" s="7">
        <v>31.8</v>
      </c>
      <c r="C186" s="38">
        <v>2.1081712962962962E-2</v>
      </c>
      <c r="D186" s="7">
        <v>34.880000000000003</v>
      </c>
      <c r="E186" s="7">
        <v>15.6</v>
      </c>
      <c r="F186" s="8">
        <v>1</v>
      </c>
      <c r="G186" s="7">
        <v>15</v>
      </c>
    </row>
    <row r="187" spans="1:7" x14ac:dyDescent="0.2">
      <c r="A187" s="45">
        <v>11</v>
      </c>
      <c r="B187" s="10">
        <v>36.1</v>
      </c>
      <c r="C187" s="39">
        <v>1.8268287037037038E-2</v>
      </c>
      <c r="D187" s="10">
        <v>59.18</v>
      </c>
      <c r="E187" s="10">
        <v>23.8</v>
      </c>
      <c r="F187" s="11">
        <v>1</v>
      </c>
      <c r="G187" s="10">
        <v>23</v>
      </c>
    </row>
    <row r="188" spans="1:7" x14ac:dyDescent="0.2">
      <c r="A188" s="44">
        <v>12</v>
      </c>
      <c r="B188" s="7">
        <v>35.5</v>
      </c>
      <c r="C188" s="38">
        <v>2.1420949074074075E-2</v>
      </c>
      <c r="D188" s="7">
        <v>57.45</v>
      </c>
      <c r="E188" s="7">
        <v>21.5</v>
      </c>
      <c r="F188" s="8">
        <v>0</v>
      </c>
      <c r="G188" s="7">
        <v>24</v>
      </c>
    </row>
    <row r="189" spans="1:7" x14ac:dyDescent="0.2">
      <c r="A189" s="45">
        <v>13</v>
      </c>
      <c r="B189" s="10">
        <v>33.799999999999997</v>
      </c>
      <c r="C189" s="39">
        <v>2.3485416666666672E-2</v>
      </c>
      <c r="D189" s="10">
        <v>53.06</v>
      </c>
      <c r="E189" s="10">
        <v>24.8</v>
      </c>
      <c r="F189" s="11">
        <v>1</v>
      </c>
      <c r="G189" s="10">
        <v>18</v>
      </c>
    </row>
    <row r="190" spans="1:7" x14ac:dyDescent="0.2">
      <c r="A190" s="44">
        <v>14</v>
      </c>
      <c r="B190" s="7">
        <v>28</v>
      </c>
      <c r="C190" s="38">
        <v>2.3548263888888889E-2</v>
      </c>
      <c r="D190" s="7">
        <v>43.75</v>
      </c>
      <c r="E190" s="7">
        <v>19.399999999999999</v>
      </c>
      <c r="F190" s="8">
        <v>1</v>
      </c>
      <c r="G190" s="7">
        <v>14</v>
      </c>
    </row>
    <row r="191" spans="1:7" x14ac:dyDescent="0.2">
      <c r="A191" s="45">
        <v>15</v>
      </c>
      <c r="B191" s="10">
        <v>32.1</v>
      </c>
      <c r="C191" s="39">
        <v>2.1485879629629629E-2</v>
      </c>
      <c r="D191" s="10">
        <v>54.05</v>
      </c>
      <c r="E191" s="10">
        <v>19.8</v>
      </c>
      <c r="F191" s="11">
        <v>1</v>
      </c>
      <c r="G191" s="10">
        <v>14</v>
      </c>
    </row>
    <row r="192" spans="1:7" x14ac:dyDescent="0.2">
      <c r="A192" s="44">
        <v>16</v>
      </c>
      <c r="B192" s="7">
        <v>31.8</v>
      </c>
      <c r="C192" s="38">
        <v>2.3550578703703706E-2</v>
      </c>
      <c r="D192" s="7">
        <v>58.33</v>
      </c>
      <c r="E192" s="7">
        <v>21.8</v>
      </c>
      <c r="F192" s="8">
        <v>1</v>
      </c>
      <c r="G192" s="7">
        <v>24</v>
      </c>
    </row>
    <row r="193" spans="1:7" x14ac:dyDescent="0.2">
      <c r="A193" s="45">
        <v>17</v>
      </c>
      <c r="B193" s="10">
        <v>24.8</v>
      </c>
      <c r="C193" s="39">
        <v>1.9326041666666665E-2</v>
      </c>
      <c r="D193" s="10">
        <v>31.71</v>
      </c>
      <c r="E193" s="10">
        <v>16.2</v>
      </c>
      <c r="F193" s="11">
        <v>1</v>
      </c>
      <c r="G193" s="10">
        <v>14</v>
      </c>
    </row>
    <row r="194" spans="1:7" x14ac:dyDescent="0.2">
      <c r="A194" s="44">
        <v>18</v>
      </c>
      <c r="B194" s="7">
        <v>29.8</v>
      </c>
      <c r="C194" s="38">
        <v>2.1569675925925926E-2</v>
      </c>
      <c r="D194" s="7">
        <v>50</v>
      </c>
      <c r="E194" s="7">
        <v>20.2</v>
      </c>
      <c r="F194" s="8">
        <v>0</v>
      </c>
      <c r="G194" s="7">
        <v>20</v>
      </c>
    </row>
    <row r="195" spans="1:7" x14ac:dyDescent="0.2">
      <c r="A195" s="45">
        <v>19</v>
      </c>
      <c r="B195" s="10">
        <v>30.3</v>
      </c>
      <c r="C195" s="39">
        <v>2.1011342592592592E-2</v>
      </c>
      <c r="D195" s="10">
        <v>35.9</v>
      </c>
      <c r="E195" s="10">
        <v>22.2</v>
      </c>
      <c r="F195" s="11">
        <v>1</v>
      </c>
      <c r="G195" s="10">
        <v>21</v>
      </c>
    </row>
    <row r="196" spans="1:7" x14ac:dyDescent="0.2">
      <c r="A196" s="44">
        <v>20</v>
      </c>
      <c r="B196" s="7">
        <v>29.5</v>
      </c>
      <c r="C196" s="38">
        <v>2.0718518518518518E-2</v>
      </c>
      <c r="D196" s="7">
        <v>34.090000000000003</v>
      </c>
      <c r="E196" s="7">
        <v>17.7</v>
      </c>
      <c r="F196" s="8">
        <v>1</v>
      </c>
      <c r="G196" s="7">
        <v>31</v>
      </c>
    </row>
    <row r="197" spans="1:7" x14ac:dyDescent="0.2">
      <c r="A197" s="45">
        <v>21</v>
      </c>
      <c r="B197" s="10">
        <v>37</v>
      </c>
      <c r="C197" s="39">
        <v>2.007662037037037E-2</v>
      </c>
      <c r="D197" s="10">
        <v>52.27</v>
      </c>
      <c r="E197" s="10">
        <v>22.5</v>
      </c>
      <c r="F197" s="11">
        <v>1</v>
      </c>
      <c r="G197" s="10">
        <v>30</v>
      </c>
    </row>
    <row r="198" spans="1:7" x14ac:dyDescent="0.2">
      <c r="A198" s="44">
        <v>22</v>
      </c>
      <c r="B198" s="7">
        <v>26.5</v>
      </c>
      <c r="C198" s="38">
        <v>2.0258217592592592E-2</v>
      </c>
      <c r="D198" s="7">
        <v>53.19</v>
      </c>
      <c r="E198" s="7">
        <v>19.8</v>
      </c>
      <c r="F198" s="8">
        <v>1</v>
      </c>
      <c r="G198" s="7">
        <v>22</v>
      </c>
    </row>
    <row r="199" spans="1:7" x14ac:dyDescent="0.2">
      <c r="A199" s="45">
        <v>23</v>
      </c>
      <c r="B199" s="10">
        <v>33.9</v>
      </c>
      <c r="C199" s="39">
        <v>2.1064814814814814E-2</v>
      </c>
      <c r="D199" s="10">
        <v>44.23</v>
      </c>
      <c r="E199" s="10">
        <v>18.899999999999999</v>
      </c>
      <c r="F199" s="11">
        <v>0</v>
      </c>
      <c r="G199" s="10">
        <v>15</v>
      </c>
    </row>
    <row r="200" spans="1:7" x14ac:dyDescent="0.2">
      <c r="A200" s="44">
        <v>24</v>
      </c>
      <c r="B200" s="7">
        <v>31.1</v>
      </c>
      <c r="C200" s="38">
        <v>1.934189814814815E-2</v>
      </c>
      <c r="D200" s="7">
        <v>57.14</v>
      </c>
      <c r="E200" s="7">
        <v>20.399999999999999</v>
      </c>
      <c r="F200" s="8">
        <v>1</v>
      </c>
      <c r="G200" s="7">
        <v>24</v>
      </c>
    </row>
    <row r="201" spans="1:7" x14ac:dyDescent="0.2">
      <c r="A201" s="45">
        <v>25</v>
      </c>
      <c r="B201" s="10">
        <v>26.2</v>
      </c>
      <c r="C201" s="39">
        <v>2.1011342592592592E-2</v>
      </c>
      <c r="D201" s="10">
        <v>45.24</v>
      </c>
      <c r="E201" s="10">
        <v>21.7</v>
      </c>
      <c r="F201" s="11">
        <v>0</v>
      </c>
      <c r="G201" s="10">
        <v>25</v>
      </c>
    </row>
    <row r="202" spans="1:7" x14ac:dyDescent="0.2">
      <c r="A202" s="44">
        <v>1</v>
      </c>
      <c r="B202" s="7">
        <v>43.6</v>
      </c>
      <c r="C202" s="38">
        <v>2.090613425925926E-2</v>
      </c>
      <c r="D202" s="7">
        <v>46.15</v>
      </c>
      <c r="E202" s="7">
        <v>12.9</v>
      </c>
      <c r="F202" s="8">
        <v>1</v>
      </c>
      <c r="G202" s="7">
        <v>13</v>
      </c>
    </row>
    <row r="203" spans="1:7" x14ac:dyDescent="0.2">
      <c r="A203" s="45">
        <v>2</v>
      </c>
      <c r="B203" s="10">
        <v>36.9</v>
      </c>
      <c r="C203" s="39">
        <v>2.2466203703703707E-2</v>
      </c>
      <c r="D203" s="10">
        <v>59.38</v>
      </c>
      <c r="E203" s="10">
        <v>17.2</v>
      </c>
      <c r="F203" s="11">
        <v>0</v>
      </c>
      <c r="G203" s="10">
        <v>18</v>
      </c>
    </row>
    <row r="204" spans="1:7" x14ac:dyDescent="0.2">
      <c r="A204" s="44">
        <v>3</v>
      </c>
      <c r="B204" s="7">
        <v>37.5</v>
      </c>
      <c r="C204" s="38">
        <v>2.1695138888888885E-2</v>
      </c>
      <c r="D204" s="7">
        <v>51.85</v>
      </c>
      <c r="E204" s="7">
        <v>9</v>
      </c>
      <c r="F204" s="8">
        <v>1</v>
      </c>
      <c r="G204" s="7">
        <v>22</v>
      </c>
    </row>
    <row r="205" spans="1:7" x14ac:dyDescent="0.2">
      <c r="A205" s="45">
        <v>4</v>
      </c>
      <c r="B205" s="10">
        <v>42.4</v>
      </c>
      <c r="C205" s="39">
        <v>2.2568518518518516E-2</v>
      </c>
      <c r="D205" s="10">
        <v>47.62</v>
      </c>
      <c r="E205" s="10">
        <v>18.8</v>
      </c>
      <c r="F205" s="11">
        <v>1</v>
      </c>
      <c r="G205" s="10">
        <v>14</v>
      </c>
    </row>
    <row r="206" spans="1:7" x14ac:dyDescent="0.2">
      <c r="A206" s="44">
        <v>5</v>
      </c>
      <c r="B206" s="7">
        <v>51.1</v>
      </c>
      <c r="C206" s="38">
        <v>2.0436458333333334E-2</v>
      </c>
      <c r="D206" s="7">
        <v>65.31</v>
      </c>
      <c r="E206" s="7">
        <v>24.5</v>
      </c>
      <c r="F206" s="8">
        <v>1</v>
      </c>
      <c r="G206" s="7">
        <v>11</v>
      </c>
    </row>
    <row r="207" spans="1:7" x14ac:dyDescent="0.2">
      <c r="A207" s="45">
        <v>6</v>
      </c>
      <c r="B207" s="10">
        <v>30.1</v>
      </c>
      <c r="C207" s="39">
        <v>2.2259374999999998E-2</v>
      </c>
      <c r="D207" s="10">
        <v>51.85</v>
      </c>
      <c r="E207" s="10">
        <v>14.3</v>
      </c>
      <c r="F207" s="11">
        <v>1</v>
      </c>
      <c r="G207" s="10">
        <v>19</v>
      </c>
    </row>
    <row r="208" spans="1:7" x14ac:dyDescent="0.2">
      <c r="A208" s="44">
        <v>7</v>
      </c>
      <c r="B208" s="7">
        <v>33.6</v>
      </c>
      <c r="C208" s="38">
        <v>2.4254861111111109E-2</v>
      </c>
      <c r="D208" s="7">
        <v>45.45</v>
      </c>
      <c r="E208" s="7">
        <v>11.3</v>
      </c>
      <c r="F208" s="8">
        <v>0</v>
      </c>
      <c r="G208" s="7">
        <v>15</v>
      </c>
    </row>
    <row r="209" spans="1:7" x14ac:dyDescent="0.2">
      <c r="A209" s="45">
        <v>8</v>
      </c>
      <c r="B209" s="10">
        <v>38.9</v>
      </c>
      <c r="C209" s="39">
        <v>2.203263888888889E-2</v>
      </c>
      <c r="D209" s="10">
        <v>58.33</v>
      </c>
      <c r="E209" s="10">
        <v>14.4</v>
      </c>
      <c r="F209" s="11">
        <v>1</v>
      </c>
      <c r="G209" s="10">
        <v>16</v>
      </c>
    </row>
    <row r="210" spans="1:7" x14ac:dyDescent="0.2">
      <c r="A210" s="44">
        <v>9</v>
      </c>
      <c r="B210" s="7">
        <v>27.6</v>
      </c>
      <c r="C210" s="38">
        <v>2.2010300925925926E-2</v>
      </c>
      <c r="D210" s="7">
        <v>48.28</v>
      </c>
      <c r="E210" s="7">
        <v>13.9</v>
      </c>
      <c r="F210" s="8">
        <v>1</v>
      </c>
      <c r="G210" s="7">
        <v>13</v>
      </c>
    </row>
    <row r="211" spans="1:7" x14ac:dyDescent="0.2">
      <c r="A211" s="45">
        <v>10</v>
      </c>
      <c r="B211" s="10">
        <v>41.9</v>
      </c>
      <c r="C211" s="39">
        <v>1.7488425925925925E-2</v>
      </c>
      <c r="D211" s="10">
        <v>62.96</v>
      </c>
      <c r="E211" s="10">
        <v>28.2</v>
      </c>
      <c r="F211" s="11">
        <v>1</v>
      </c>
      <c r="G211" s="10">
        <v>26</v>
      </c>
    </row>
    <row r="212" spans="1:7" x14ac:dyDescent="0.2">
      <c r="A212" s="44">
        <v>11</v>
      </c>
      <c r="B212" s="7">
        <v>37.6</v>
      </c>
      <c r="C212" s="38">
        <v>1.9999074074074075E-2</v>
      </c>
      <c r="D212" s="7">
        <v>47.83</v>
      </c>
      <c r="E212" s="7">
        <v>12.6</v>
      </c>
      <c r="F212" s="8">
        <v>0</v>
      </c>
      <c r="G212" s="7">
        <v>26</v>
      </c>
    </row>
    <row r="213" spans="1:7" x14ac:dyDescent="0.2">
      <c r="A213" s="45">
        <v>12</v>
      </c>
      <c r="B213" s="10">
        <v>43.8</v>
      </c>
      <c r="C213" s="39">
        <v>2.1025694444444448E-2</v>
      </c>
      <c r="D213" s="10">
        <v>58.49</v>
      </c>
      <c r="E213" s="10">
        <v>27.8</v>
      </c>
      <c r="F213" s="11">
        <v>1</v>
      </c>
      <c r="G213" s="10">
        <v>21</v>
      </c>
    </row>
    <row r="214" spans="1:7" x14ac:dyDescent="0.2">
      <c r="A214" s="44">
        <v>13</v>
      </c>
      <c r="B214" s="7">
        <v>31.5</v>
      </c>
      <c r="C214" s="38">
        <v>2.1493981481481485E-2</v>
      </c>
      <c r="D214" s="7">
        <v>63.04</v>
      </c>
      <c r="E214" s="7">
        <v>24.5</v>
      </c>
      <c r="F214" s="8">
        <v>1</v>
      </c>
      <c r="G214" s="7">
        <v>19</v>
      </c>
    </row>
    <row r="215" spans="1:7" x14ac:dyDescent="0.2">
      <c r="A215" s="45">
        <v>14</v>
      </c>
      <c r="B215" s="10">
        <v>32.1</v>
      </c>
      <c r="C215" s="39">
        <v>2.0990972222222223E-2</v>
      </c>
      <c r="D215" s="10">
        <v>59.38</v>
      </c>
      <c r="E215" s="10">
        <v>19</v>
      </c>
      <c r="F215" s="11">
        <v>1</v>
      </c>
      <c r="G215" s="10">
        <v>25</v>
      </c>
    </row>
    <row r="216" spans="1:7" x14ac:dyDescent="0.2">
      <c r="A216" s="44">
        <v>15</v>
      </c>
      <c r="B216" s="7">
        <v>22.1</v>
      </c>
      <c r="C216" s="38">
        <v>2.2919097222222226E-2</v>
      </c>
      <c r="D216" s="7">
        <v>51.52</v>
      </c>
      <c r="E216" s="7">
        <v>16.7</v>
      </c>
      <c r="F216" s="8">
        <v>1</v>
      </c>
      <c r="G216" s="7">
        <v>20</v>
      </c>
    </row>
    <row r="217" spans="1:7" x14ac:dyDescent="0.2">
      <c r="A217" s="45">
        <v>16</v>
      </c>
      <c r="B217" s="10">
        <v>40.799999999999997</v>
      </c>
      <c r="C217" s="39">
        <v>2.162928240740741E-2</v>
      </c>
      <c r="D217" s="10">
        <v>73.680000000000007</v>
      </c>
      <c r="E217" s="10">
        <v>28.1</v>
      </c>
      <c r="F217" s="11">
        <v>1</v>
      </c>
      <c r="G217" s="10">
        <v>20</v>
      </c>
    </row>
    <row r="218" spans="1:7" x14ac:dyDescent="0.2">
      <c r="A218" s="44">
        <v>17</v>
      </c>
      <c r="B218" s="7">
        <v>25.9</v>
      </c>
      <c r="C218" s="38">
        <v>2.0777083333333331E-2</v>
      </c>
      <c r="D218" s="7">
        <v>54.35</v>
      </c>
      <c r="E218" s="7">
        <v>20.100000000000001</v>
      </c>
      <c r="F218" s="8">
        <v>0</v>
      </c>
      <c r="G218" s="7">
        <v>30</v>
      </c>
    </row>
    <row r="219" spans="1:7" x14ac:dyDescent="0.2">
      <c r="A219" s="45">
        <v>18</v>
      </c>
      <c r="B219" s="10">
        <v>30.5</v>
      </c>
      <c r="C219" s="39">
        <v>2.2123379629629628E-2</v>
      </c>
      <c r="D219" s="10">
        <v>51.35</v>
      </c>
      <c r="E219" s="10">
        <v>23.1</v>
      </c>
      <c r="F219" s="11">
        <v>0</v>
      </c>
      <c r="G219" s="10">
        <v>21</v>
      </c>
    </row>
    <row r="220" spans="1:7" x14ac:dyDescent="0.2">
      <c r="A220" s="44">
        <v>19</v>
      </c>
      <c r="B220" s="7">
        <v>42.2</v>
      </c>
      <c r="C220" s="38">
        <v>1.7929861111111108E-2</v>
      </c>
      <c r="D220" s="7">
        <v>58</v>
      </c>
      <c r="E220" s="7">
        <v>27.2</v>
      </c>
      <c r="F220" s="8">
        <v>1</v>
      </c>
      <c r="G220" s="7">
        <v>26</v>
      </c>
    </row>
    <row r="221" spans="1:7" x14ac:dyDescent="0.2">
      <c r="A221" s="45">
        <v>20</v>
      </c>
      <c r="B221" s="10">
        <v>30.3</v>
      </c>
      <c r="C221" s="39">
        <v>2.1884837962962964E-2</v>
      </c>
      <c r="D221" s="10">
        <v>44.83</v>
      </c>
      <c r="E221" s="10">
        <v>13</v>
      </c>
      <c r="F221" s="11">
        <v>1</v>
      </c>
      <c r="G221" s="10">
        <v>24</v>
      </c>
    </row>
    <row r="222" spans="1:7" x14ac:dyDescent="0.2">
      <c r="A222" s="44">
        <v>21</v>
      </c>
      <c r="B222" s="7">
        <v>33.4</v>
      </c>
      <c r="C222" s="38">
        <v>2.1940856481481485E-2</v>
      </c>
      <c r="D222" s="7">
        <v>42.22</v>
      </c>
      <c r="E222" s="7">
        <v>20.2</v>
      </c>
      <c r="F222" s="8">
        <v>1</v>
      </c>
      <c r="G222" s="7">
        <v>26</v>
      </c>
    </row>
    <row r="223" spans="1:7" x14ac:dyDescent="0.2">
      <c r="A223" s="45">
        <v>22</v>
      </c>
      <c r="B223" s="10">
        <v>24.4</v>
      </c>
      <c r="C223" s="39">
        <v>2.1188541666666668E-2</v>
      </c>
      <c r="D223" s="10">
        <v>58.14</v>
      </c>
      <c r="E223" s="10">
        <v>20.3</v>
      </c>
      <c r="F223" s="11">
        <v>1</v>
      </c>
      <c r="G223" s="10">
        <v>27</v>
      </c>
    </row>
    <row r="224" spans="1:7" x14ac:dyDescent="0.2">
      <c r="A224" s="44">
        <v>23</v>
      </c>
      <c r="B224" s="7">
        <v>24.5</v>
      </c>
      <c r="C224" s="38">
        <v>2.0159375E-2</v>
      </c>
      <c r="D224" s="7">
        <v>45.45</v>
      </c>
      <c r="E224" s="7">
        <v>17</v>
      </c>
      <c r="F224" s="8">
        <v>0</v>
      </c>
      <c r="G224" s="7">
        <v>16</v>
      </c>
    </row>
    <row r="225" spans="1:7" x14ac:dyDescent="0.2">
      <c r="A225" s="45">
        <v>24</v>
      </c>
      <c r="B225" s="10">
        <v>25.1</v>
      </c>
      <c r="C225" s="39">
        <v>2.154375E-2</v>
      </c>
      <c r="D225" s="10">
        <v>53.66</v>
      </c>
      <c r="E225" s="10">
        <v>22.1</v>
      </c>
      <c r="F225" s="11">
        <v>1</v>
      </c>
      <c r="G225" s="10">
        <v>22</v>
      </c>
    </row>
    <row r="226" spans="1:7" x14ac:dyDescent="0.2">
      <c r="A226" s="46">
        <v>25</v>
      </c>
      <c r="B226" s="24">
        <v>34.200000000000003</v>
      </c>
      <c r="C226" s="35">
        <v>2.1049652777777775E-2</v>
      </c>
      <c r="D226" s="24">
        <v>59.09</v>
      </c>
      <c r="E226" s="24">
        <v>21.9</v>
      </c>
      <c r="F226" s="36">
        <v>0</v>
      </c>
      <c r="G226" s="24">
        <v>28</v>
      </c>
    </row>
  </sheetData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23"/>
  <sheetViews>
    <sheetView showGridLines="0" tabSelected="1" workbookViewId="0">
      <selection activeCell="Q15" sqref="Q15"/>
    </sheetView>
  </sheetViews>
  <sheetFormatPr baseColWidth="10" defaultColWidth="8.83203125" defaultRowHeight="15" x14ac:dyDescent="0.2"/>
  <cols>
    <col min="1" max="1" width="21.6640625" bestFit="1" customWidth="1"/>
    <col min="2" max="2" width="12.6640625" bestFit="1" customWidth="1"/>
    <col min="3" max="3" width="14.5" bestFit="1" customWidth="1"/>
    <col min="4" max="4" width="12.6640625" bestFit="1" customWidth="1"/>
    <col min="5" max="5" width="12" bestFit="1" customWidth="1"/>
    <col min="6" max="6" width="13.5" bestFit="1" customWidth="1"/>
    <col min="7" max="9" width="12.6640625" bestFit="1" customWidth="1"/>
  </cols>
  <sheetData>
    <row r="1" spans="1:9" ht="21" x14ac:dyDescent="0.25">
      <c r="A1" s="48" t="s">
        <v>186</v>
      </c>
      <c r="B1" s="48"/>
    </row>
    <row r="2" spans="1:9" ht="16" thickBot="1" x14ac:dyDescent="0.25"/>
    <row r="3" spans="1:9" x14ac:dyDescent="0.2">
      <c r="A3" s="22" t="s">
        <v>148</v>
      </c>
      <c r="B3" s="22"/>
    </row>
    <row r="4" spans="1:9" x14ac:dyDescent="0.2">
      <c r="A4" s="19" t="s">
        <v>149</v>
      </c>
      <c r="B4" s="19">
        <v>0.65568709919733403</v>
      </c>
    </row>
    <row r="5" spans="1:9" x14ac:dyDescent="0.2">
      <c r="A5" s="19" t="s">
        <v>150</v>
      </c>
      <c r="B5" s="41">
        <v>0.42992557205381454</v>
      </c>
    </row>
    <row r="6" spans="1:9" x14ac:dyDescent="0.2">
      <c r="A6" s="19" t="s">
        <v>151</v>
      </c>
      <c r="B6" s="19">
        <v>0.41423545018373609</v>
      </c>
    </row>
    <row r="7" spans="1:9" x14ac:dyDescent="0.2">
      <c r="A7" s="19" t="s">
        <v>152</v>
      </c>
      <c r="B7" s="19">
        <v>5.5313413966824605</v>
      </c>
    </row>
    <row r="8" spans="1:9" ht="16" thickBot="1" x14ac:dyDescent="0.25">
      <c r="A8" s="20" t="s">
        <v>153</v>
      </c>
      <c r="B8" s="20">
        <v>225</v>
      </c>
    </row>
    <row r="10" spans="1:9" ht="16" thickBot="1" x14ac:dyDescent="0.25">
      <c r="A10" t="s">
        <v>154</v>
      </c>
    </row>
    <row r="11" spans="1:9" x14ac:dyDescent="0.2">
      <c r="A11" s="21"/>
      <c r="B11" s="21" t="s">
        <v>159</v>
      </c>
      <c r="C11" s="21" t="s">
        <v>160</v>
      </c>
      <c r="D11" s="21" t="s">
        <v>161</v>
      </c>
      <c r="E11" s="21" t="s">
        <v>162</v>
      </c>
      <c r="F11" s="21" t="s">
        <v>163</v>
      </c>
    </row>
    <row r="12" spans="1:9" x14ac:dyDescent="0.2">
      <c r="A12" s="19" t="s">
        <v>155</v>
      </c>
      <c r="B12" s="19">
        <v>6</v>
      </c>
      <c r="C12" s="19">
        <v>5030.1291930296302</v>
      </c>
      <c r="D12" s="19">
        <v>838.3548655049384</v>
      </c>
      <c r="E12" s="19">
        <v>27.401034588118442</v>
      </c>
      <c r="F12" s="19">
        <v>2.880583640163048E-24</v>
      </c>
    </row>
    <row r="13" spans="1:9" x14ac:dyDescent="0.2">
      <c r="A13" s="19" t="s">
        <v>156</v>
      </c>
      <c r="B13" s="19">
        <v>218</v>
      </c>
      <c r="C13" s="19">
        <v>6669.8708069703698</v>
      </c>
      <c r="D13" s="19">
        <v>30.595737646653074</v>
      </c>
      <c r="E13" s="19"/>
      <c r="F13" s="19"/>
    </row>
    <row r="14" spans="1:9" ht="16" thickBot="1" x14ac:dyDescent="0.25">
      <c r="A14" s="20" t="s">
        <v>157</v>
      </c>
      <c r="B14" s="20">
        <v>224</v>
      </c>
      <c r="C14" s="20">
        <v>11700</v>
      </c>
      <c r="D14" s="20"/>
      <c r="E14" s="20"/>
      <c r="F14" s="20"/>
    </row>
    <row r="15" spans="1:9" ht="16" thickBot="1" x14ac:dyDescent="0.25"/>
    <row r="16" spans="1:9" x14ac:dyDescent="0.2">
      <c r="A16" s="21"/>
      <c r="B16" s="21" t="s">
        <v>164</v>
      </c>
      <c r="C16" s="21" t="s">
        <v>152</v>
      </c>
      <c r="D16" s="21" t="s">
        <v>165</v>
      </c>
      <c r="E16" s="21" t="s">
        <v>166</v>
      </c>
      <c r="F16" s="21" t="s">
        <v>167</v>
      </c>
      <c r="G16" s="21" t="s">
        <v>168</v>
      </c>
      <c r="H16" s="21" t="s">
        <v>169</v>
      </c>
      <c r="I16" s="21" t="s">
        <v>170</v>
      </c>
    </row>
    <row r="17" spans="1:9" x14ac:dyDescent="0.2">
      <c r="A17" s="19" t="s">
        <v>158</v>
      </c>
      <c r="B17" s="19">
        <v>41.876874609968574</v>
      </c>
      <c r="C17" s="19">
        <v>7.8703618986421269</v>
      </c>
      <c r="D17" s="19">
        <v>5.3208321484166552</v>
      </c>
      <c r="E17" s="19">
        <v>2.5579049553993876E-7</v>
      </c>
      <c r="F17" s="19">
        <v>26.365134261412265</v>
      </c>
      <c r="G17" s="19">
        <v>57.388614958524883</v>
      </c>
      <c r="H17" s="19">
        <v>26.365134261412265</v>
      </c>
      <c r="I17" s="19">
        <v>57.388614958524883</v>
      </c>
    </row>
    <row r="18" spans="1:9" x14ac:dyDescent="0.2">
      <c r="A18" s="19" t="s">
        <v>130</v>
      </c>
      <c r="B18" s="19">
        <v>-0.63569642341760668</v>
      </c>
      <c r="C18" s="19">
        <v>6.5833943015296117E-2</v>
      </c>
      <c r="D18" s="19">
        <v>-9.6560587791301895</v>
      </c>
      <c r="E18" s="33">
        <v>1.3611315963590865E-18</v>
      </c>
      <c r="F18" s="19">
        <v>-0.76544891044760122</v>
      </c>
      <c r="G18" s="19">
        <v>-0.50594393638761215</v>
      </c>
      <c r="H18" s="19">
        <v>-0.76544891044760122</v>
      </c>
      <c r="I18" s="19">
        <v>-0.50594393638761215</v>
      </c>
    </row>
    <row r="19" spans="1:9" x14ac:dyDescent="0.2">
      <c r="A19" s="19" t="s">
        <v>135</v>
      </c>
      <c r="B19" s="19">
        <v>-704.77510821304656</v>
      </c>
      <c r="C19" s="19">
        <v>281.89153262536286</v>
      </c>
      <c r="D19" s="19">
        <v>-2.5001641647381474</v>
      </c>
      <c r="E19" s="33">
        <v>1.3150159661153875E-2</v>
      </c>
      <c r="F19" s="19">
        <v>-1260.3567087612537</v>
      </c>
      <c r="G19" s="19">
        <v>-149.19350766483956</v>
      </c>
      <c r="H19" s="19">
        <v>-1260.3567087612537</v>
      </c>
      <c r="I19" s="19">
        <v>-149.19350766483956</v>
      </c>
    </row>
    <row r="20" spans="1:9" x14ac:dyDescent="0.2">
      <c r="A20" s="19" t="s">
        <v>184</v>
      </c>
      <c r="B20" s="19">
        <v>-4.9225460321579012E-2</v>
      </c>
      <c r="C20" s="19">
        <v>4.9899852979116942E-2</v>
      </c>
      <c r="D20" s="19">
        <v>-0.98648507726425239</v>
      </c>
      <c r="E20" s="42">
        <v>0.32498874639603248</v>
      </c>
      <c r="F20" s="19">
        <v>-0.14757336005116323</v>
      </c>
      <c r="G20" s="19">
        <v>4.9122439408005217E-2</v>
      </c>
      <c r="H20" s="19">
        <v>-0.14757336005116323</v>
      </c>
      <c r="I20" s="19">
        <v>4.9122439408005217E-2</v>
      </c>
    </row>
    <row r="21" spans="1:9" x14ac:dyDescent="0.2">
      <c r="A21" s="19" t="s">
        <v>182</v>
      </c>
      <c r="B21" s="19">
        <v>0.64523428863370003</v>
      </c>
      <c r="C21" s="19">
        <v>9.9544530232529738E-2</v>
      </c>
      <c r="D21" s="19">
        <v>6.4818658255403232</v>
      </c>
      <c r="E21" s="33">
        <v>5.9609558266398076E-10</v>
      </c>
      <c r="F21" s="19">
        <v>0.44904141644158135</v>
      </c>
      <c r="G21" s="19">
        <v>0.8414271608258187</v>
      </c>
      <c r="H21" s="19">
        <v>0.44904141644158135</v>
      </c>
      <c r="I21" s="19">
        <v>0.8414271608258187</v>
      </c>
    </row>
    <row r="22" spans="1:9" x14ac:dyDescent="0.2">
      <c r="A22" s="19" t="s">
        <v>185</v>
      </c>
      <c r="B22" s="19">
        <v>-4.948638114692252</v>
      </c>
      <c r="C22" s="19">
        <v>0.97511270790825</v>
      </c>
      <c r="D22" s="19">
        <v>-5.0749396193469334</v>
      </c>
      <c r="E22" s="33">
        <v>8.2932452839172064E-7</v>
      </c>
      <c r="F22" s="19">
        <v>-6.8704932123924021</v>
      </c>
      <c r="G22" s="19">
        <v>-3.0267830169921019</v>
      </c>
      <c r="H22" s="19">
        <v>-6.8704932123924021</v>
      </c>
      <c r="I22" s="19">
        <v>-3.0267830169921019</v>
      </c>
    </row>
    <row r="23" spans="1:9" ht="16" thickBot="1" x14ac:dyDescent="0.25">
      <c r="A23" s="20" t="s">
        <v>136</v>
      </c>
      <c r="B23" s="20">
        <v>0.10883379367765951</v>
      </c>
      <c r="C23" s="20">
        <v>7.8490946097461545E-2</v>
      </c>
      <c r="D23" s="20">
        <v>1.3865776766472087</v>
      </c>
      <c r="E23" s="47">
        <v>0.16698689934581704</v>
      </c>
      <c r="F23" s="20">
        <v>-4.5864451619855126E-2</v>
      </c>
      <c r="G23" s="20">
        <v>0.26353203897517413</v>
      </c>
      <c r="H23" s="20">
        <v>-4.5864451619855126E-2</v>
      </c>
      <c r="I23" s="20">
        <v>0.26353203897517413</v>
      </c>
    </row>
  </sheetData>
  <mergeCells count="1">
    <mergeCell ref="A1:B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/>
  <dimension ref="A1:Q131"/>
  <sheetViews>
    <sheetView workbookViewId="0">
      <selection activeCell="I1" sqref="I1:Q26"/>
    </sheetView>
  </sheetViews>
  <sheetFormatPr baseColWidth="10" defaultColWidth="8.83203125" defaultRowHeight="15" x14ac:dyDescent="0.2"/>
  <cols>
    <col min="1" max="1" width="19.5" bestFit="1" customWidth="1"/>
    <col min="2" max="2" width="8.83203125" bestFit="1" customWidth="1"/>
    <col min="3" max="3" width="10" customWidth="1"/>
    <col min="4" max="5" width="7.5" customWidth="1"/>
    <col min="6" max="6" width="7.6640625" bestFit="1" customWidth="1"/>
    <col min="7" max="7" width="16" customWidth="1"/>
    <col min="10" max="10" width="17.33203125" bestFit="1" customWidth="1"/>
    <col min="16" max="16" width="14" bestFit="1" customWidth="1"/>
  </cols>
  <sheetData>
    <row r="1" spans="1:17" x14ac:dyDescent="0.2">
      <c r="A1" s="14" t="s">
        <v>129</v>
      </c>
      <c r="B1" s="15" t="s">
        <v>130</v>
      </c>
      <c r="C1" s="16" t="s">
        <v>132</v>
      </c>
      <c r="D1" s="17" t="s">
        <v>133</v>
      </c>
      <c r="E1" s="15" t="s">
        <v>134</v>
      </c>
      <c r="F1" s="15" t="s">
        <v>131</v>
      </c>
      <c r="G1" s="15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6" t="s">
        <v>40</v>
      </c>
      <c r="B2" s="8">
        <v>35.200000000000003</v>
      </c>
      <c r="C2" s="6">
        <v>87.5</v>
      </c>
      <c r="D2" s="7">
        <v>75</v>
      </c>
      <c r="E2" s="8">
        <v>12.5</v>
      </c>
      <c r="F2" s="12">
        <v>2.3650231481481484E-2</v>
      </c>
      <c r="G2" s="8">
        <v>17</v>
      </c>
      <c r="I2">
        <v>1</v>
      </c>
      <c r="J2" t="s">
        <v>24</v>
      </c>
      <c r="K2">
        <f>VLOOKUP(J2,Offense_2016[],2)</f>
        <v>39.200000000000003</v>
      </c>
      <c r="L2">
        <f>VLOOKUP($J2,Offense_2016[],3)</f>
        <v>90.91</v>
      </c>
      <c r="M2">
        <f>VLOOKUP($J2,Offense_2016[],4)</f>
        <v>72.73</v>
      </c>
      <c r="N2">
        <f>VLOOKUP($J2,Offense_2016[],5)</f>
        <v>18.18</v>
      </c>
      <c r="O2" s="1">
        <f>VLOOKUP($J2,Offense_2016[],6)</f>
        <v>2.1250810185185185E-2</v>
      </c>
      <c r="P2">
        <f>VLOOKUP($J2,Offense_2016[],7)</f>
        <v>28</v>
      </c>
      <c r="Q2">
        <v>2016</v>
      </c>
    </row>
    <row r="3" spans="1:17" x14ac:dyDescent="0.2">
      <c r="A3" s="9" t="s">
        <v>103</v>
      </c>
      <c r="B3" s="11">
        <v>27.4</v>
      </c>
      <c r="C3" s="9">
        <v>77.78</v>
      </c>
      <c r="D3" s="10">
        <v>66.67</v>
      </c>
      <c r="E3" s="11">
        <v>11.11</v>
      </c>
      <c r="F3" s="13">
        <v>1.8043055555555555E-2</v>
      </c>
      <c r="G3" s="11">
        <v>22</v>
      </c>
      <c r="I3">
        <v>2</v>
      </c>
      <c r="J3" t="s">
        <v>11</v>
      </c>
      <c r="K3">
        <f>VLOOKUP(J3,Offense_2016[],2)</f>
        <v>38.799999999999997</v>
      </c>
      <c r="L3">
        <f>VLOOKUP(J3,Offense_2016[],3)</f>
        <v>88.14</v>
      </c>
      <c r="M3">
        <f>VLOOKUP($J3,Offense_2016[],4)</f>
        <v>71.19</v>
      </c>
      <c r="N3">
        <f>VLOOKUP($J3,Offense_2016[],5)</f>
        <v>16.95</v>
      </c>
      <c r="O3" s="1">
        <f>VLOOKUP($J3,Offense_2016[],6)</f>
        <v>2.1480671296296296E-2</v>
      </c>
      <c r="P3">
        <f>VLOOKUP($J3,Offense_2016[],7)</f>
        <v>19</v>
      </c>
      <c r="Q3">
        <v>2016</v>
      </c>
    </row>
    <row r="4" spans="1:17" x14ac:dyDescent="0.2">
      <c r="A4" s="6" t="s">
        <v>11</v>
      </c>
      <c r="B4" s="8">
        <v>38.799999999999997</v>
      </c>
      <c r="C4" s="6">
        <v>88.14</v>
      </c>
      <c r="D4" s="7">
        <v>71.19</v>
      </c>
      <c r="E4" s="8">
        <v>16.95</v>
      </c>
      <c r="F4" s="12">
        <v>2.1480671296296296E-2</v>
      </c>
      <c r="G4" s="8">
        <v>19</v>
      </c>
      <c r="I4">
        <v>3</v>
      </c>
      <c r="J4" t="s">
        <v>26</v>
      </c>
      <c r="K4">
        <f>VLOOKUP(J4,Offense_2016[],2)</f>
        <v>34.4</v>
      </c>
      <c r="L4">
        <f>VLOOKUP(J4,Offense_2016[],3)</f>
        <v>86.79</v>
      </c>
      <c r="M4">
        <f>VLOOKUP($J4,Offense_2016[],4)</f>
        <v>64.150000000000006</v>
      </c>
      <c r="N4">
        <f>VLOOKUP($J4,Offense_2016[],5)</f>
        <v>22.64</v>
      </c>
      <c r="O4" s="1">
        <f>VLOOKUP($J4,Offense_2016[],6)</f>
        <v>2.2155439814814815E-2</v>
      </c>
      <c r="P4">
        <f>VLOOKUP($J4,Offense_2016[],7)</f>
        <v>20</v>
      </c>
      <c r="Q4">
        <v>2016</v>
      </c>
    </row>
    <row r="5" spans="1:17" x14ac:dyDescent="0.2">
      <c r="A5" s="9" t="s">
        <v>45</v>
      </c>
      <c r="B5" s="11">
        <v>29.2</v>
      </c>
      <c r="C5" s="9">
        <v>84.09</v>
      </c>
      <c r="D5" s="10">
        <v>61.36</v>
      </c>
      <c r="E5" s="11">
        <v>22.73</v>
      </c>
      <c r="F5" s="13">
        <v>2.3331597222222219E-2</v>
      </c>
      <c r="G5" s="11">
        <v>13</v>
      </c>
      <c r="I5">
        <v>4</v>
      </c>
      <c r="J5" t="s">
        <v>17</v>
      </c>
      <c r="K5">
        <f>VLOOKUP(J5,Offense_2016[],2)</f>
        <v>41.8</v>
      </c>
      <c r="L5">
        <f>VLOOKUP(J5,Offense_2016[],3)</f>
        <v>78.849999999999994</v>
      </c>
      <c r="M5">
        <f>VLOOKUP($J5,Offense_2016[],4)</f>
        <v>50</v>
      </c>
      <c r="N5">
        <f>VLOOKUP($J5,Offense_2016[],5)</f>
        <v>28.85</v>
      </c>
      <c r="O5" s="1">
        <f>VLOOKUP($J5,Offense_2016[],6)</f>
        <v>2.1564120370370369E-2</v>
      </c>
      <c r="P5">
        <f>VLOOKUP($J5,Offense_2016[],7)</f>
        <v>15</v>
      </c>
      <c r="Q5">
        <v>2016</v>
      </c>
    </row>
    <row r="6" spans="1:17" x14ac:dyDescent="0.2">
      <c r="A6" s="6" t="s">
        <v>5</v>
      </c>
      <c r="B6" s="8">
        <v>24.8</v>
      </c>
      <c r="C6" s="6">
        <v>88.46</v>
      </c>
      <c r="D6" s="7">
        <v>71.150000000000006</v>
      </c>
      <c r="E6" s="8">
        <v>17.309999999999999</v>
      </c>
      <c r="F6" s="12">
        <v>1.7944675925925926E-2</v>
      </c>
      <c r="G6" s="8">
        <v>21</v>
      </c>
      <c r="I6">
        <v>5</v>
      </c>
      <c r="J6" t="s">
        <v>3</v>
      </c>
      <c r="K6">
        <f>VLOOKUP(J6,Offense_2016[],2)</f>
        <v>43.9</v>
      </c>
      <c r="L6">
        <f>VLOOKUP(J6,Offense_2016[],3)</f>
        <v>88.89</v>
      </c>
      <c r="M6">
        <f>VLOOKUP($J6,Offense_2016[],4)</f>
        <v>68.25</v>
      </c>
      <c r="N6">
        <f>VLOOKUP($J6,Offense_2016[],5)</f>
        <v>20.63</v>
      </c>
      <c r="O6" s="1">
        <f>VLOOKUP($J6,Offense_2016[],6)</f>
        <v>2.2409143518518516E-2</v>
      </c>
      <c r="P6">
        <f>VLOOKUP($J6,Offense_2016[],7)</f>
        <v>17</v>
      </c>
      <c r="Q6">
        <v>2016</v>
      </c>
    </row>
    <row r="7" spans="1:17" x14ac:dyDescent="0.2">
      <c r="A7" s="9" t="s">
        <v>38</v>
      </c>
      <c r="B7" s="11">
        <v>33.299999999999997</v>
      </c>
      <c r="C7" s="9">
        <v>95.83</v>
      </c>
      <c r="D7" s="10">
        <v>75</v>
      </c>
      <c r="E7" s="11">
        <v>20.83</v>
      </c>
      <c r="F7" s="13">
        <v>2.096261574074074E-2</v>
      </c>
      <c r="G7" s="11">
        <v>21</v>
      </c>
      <c r="I7">
        <v>6</v>
      </c>
      <c r="J7" t="s">
        <v>4</v>
      </c>
      <c r="K7">
        <f>VLOOKUP(J7,Offense_2016[],2)</f>
        <v>39.4</v>
      </c>
      <c r="L7">
        <f>VLOOKUP(J7,Offense_2016[],3)</f>
        <v>91.53</v>
      </c>
      <c r="M7">
        <f>VLOOKUP($J7,Offense_2016[],4)</f>
        <v>79.66</v>
      </c>
      <c r="N7">
        <f>VLOOKUP($J7,Offense_2016[],5)</f>
        <v>11.86</v>
      </c>
      <c r="O7" s="1">
        <f>VLOOKUP($J7,Offense_2016[],6)</f>
        <v>2.3036805555555557E-2</v>
      </c>
      <c r="P7">
        <f>VLOOKUP($J7,Offense_2016[],7)</f>
        <v>12</v>
      </c>
      <c r="Q7">
        <v>2016</v>
      </c>
    </row>
    <row r="8" spans="1:17" x14ac:dyDescent="0.2">
      <c r="A8" s="6" t="s">
        <v>63</v>
      </c>
      <c r="B8" s="8">
        <v>30.3</v>
      </c>
      <c r="C8" s="6">
        <v>87.5</v>
      </c>
      <c r="D8" s="7">
        <v>75</v>
      </c>
      <c r="E8" s="8">
        <v>12.5</v>
      </c>
      <c r="F8" s="12">
        <v>2.4116782407407406E-2</v>
      </c>
      <c r="G8" s="8">
        <v>25</v>
      </c>
      <c r="I8">
        <v>7</v>
      </c>
      <c r="J8" t="s">
        <v>6</v>
      </c>
      <c r="K8">
        <f>VLOOKUP(J8,Offense_2016[],2)</f>
        <v>37.6</v>
      </c>
      <c r="L8">
        <f>VLOOKUP(J8,Offense_2016[],3)</f>
        <v>88.57</v>
      </c>
      <c r="M8">
        <f>VLOOKUP($J8,Offense_2016[],4)</f>
        <v>62.86</v>
      </c>
      <c r="N8">
        <f>VLOOKUP($J8,Offense_2016[],5)</f>
        <v>25.71</v>
      </c>
      <c r="O8" s="1">
        <f>VLOOKUP($J8,Offense_2016[],6)</f>
        <v>1.9260069444444444E-2</v>
      </c>
      <c r="P8">
        <f>VLOOKUP($J8,Offense_2016[],7)</f>
        <v>20</v>
      </c>
      <c r="Q8">
        <v>2016</v>
      </c>
    </row>
    <row r="9" spans="1:17" x14ac:dyDescent="0.2">
      <c r="A9" s="9" t="s">
        <v>8</v>
      </c>
      <c r="B9" s="11">
        <v>27.3</v>
      </c>
      <c r="C9" s="9">
        <v>76</v>
      </c>
      <c r="D9" s="10">
        <v>60</v>
      </c>
      <c r="E9" s="11">
        <v>16</v>
      </c>
      <c r="F9" s="13">
        <v>2.0161111111111112E-2</v>
      </c>
      <c r="G9" s="11">
        <v>17</v>
      </c>
      <c r="I9">
        <v>8</v>
      </c>
      <c r="J9" t="s">
        <v>88</v>
      </c>
      <c r="K9">
        <f>VLOOKUP(J9,Offense_2016[],2)</f>
        <v>35.1</v>
      </c>
      <c r="L9">
        <f>VLOOKUP(J9,Offense_2016[],3)</f>
        <v>96.97</v>
      </c>
      <c r="M9">
        <f>VLOOKUP($J9,Offense_2016[],4)</f>
        <v>69.7</v>
      </c>
      <c r="N9">
        <f>VLOOKUP($J9,Offense_2016[],5)</f>
        <v>27.27</v>
      </c>
      <c r="O9" s="1">
        <f>VLOOKUP($J9,Offense_2016[],6)</f>
        <v>2.2863194444444446E-2</v>
      </c>
      <c r="P9">
        <f>VLOOKUP($J9,Offense_2016[],7)</f>
        <v>20</v>
      </c>
      <c r="Q9">
        <v>2016</v>
      </c>
    </row>
    <row r="10" spans="1:17" x14ac:dyDescent="0.2">
      <c r="A10" s="6" t="s">
        <v>42</v>
      </c>
      <c r="B10" s="8">
        <v>29.9</v>
      </c>
      <c r="C10" s="6">
        <v>88.37</v>
      </c>
      <c r="D10" s="7">
        <v>83.72</v>
      </c>
      <c r="E10" s="8">
        <v>4.6500000000000004</v>
      </c>
      <c r="F10" s="12">
        <v>2.4028703703703705E-2</v>
      </c>
      <c r="G10" s="8">
        <v>25</v>
      </c>
      <c r="I10">
        <v>9</v>
      </c>
      <c r="J10" t="s">
        <v>25</v>
      </c>
      <c r="K10">
        <f>VLOOKUP(J10,Offense_2016[],2)</f>
        <v>28.4</v>
      </c>
      <c r="L10">
        <f>VLOOKUP(J10,Offense_2016[],3)</f>
        <v>73.47</v>
      </c>
      <c r="M10">
        <f>VLOOKUP($J10,Offense_2016[],4)</f>
        <v>59.18</v>
      </c>
      <c r="N10">
        <f>VLOOKUP($J10,Offense_2016[],5)</f>
        <v>12.24</v>
      </c>
      <c r="O10" s="1">
        <f>VLOOKUP($J10,Offense_2016[],6)</f>
        <v>2.4284837962962963E-2</v>
      </c>
      <c r="P10">
        <f>VLOOKUP($J10,Offense_2016[],7)</f>
        <v>16</v>
      </c>
      <c r="Q10">
        <v>2016</v>
      </c>
    </row>
    <row r="11" spans="1:17" x14ac:dyDescent="0.2">
      <c r="A11" s="9" t="s">
        <v>19</v>
      </c>
      <c r="B11" s="11">
        <v>31.2</v>
      </c>
      <c r="C11" s="9">
        <v>90.57</v>
      </c>
      <c r="D11" s="10">
        <v>66.040000000000006</v>
      </c>
      <c r="E11" s="11">
        <v>24.53</v>
      </c>
      <c r="F11" s="13">
        <v>2.0264467592592591E-2</v>
      </c>
      <c r="G11" s="11">
        <v>14</v>
      </c>
      <c r="I11">
        <v>10</v>
      </c>
      <c r="J11" t="s">
        <v>84</v>
      </c>
      <c r="K11">
        <f>VLOOKUP(J11,Offense_2016[],2)</f>
        <v>40.299999999999997</v>
      </c>
      <c r="L11">
        <f>VLOOKUP(J11,Offense_2016[],3)</f>
        <v>85</v>
      </c>
      <c r="M11">
        <f>VLOOKUP($J11,Offense_2016[],4)</f>
        <v>65</v>
      </c>
      <c r="N11">
        <f>VLOOKUP($J11,Offense_2016[],5)</f>
        <v>20</v>
      </c>
      <c r="O11" s="1">
        <f>VLOOKUP($J11,Offense_2016[],6)</f>
        <v>2.2950462962962964E-2</v>
      </c>
      <c r="P11">
        <f>VLOOKUP($J11,Offense_2016[],7)</f>
        <v>12</v>
      </c>
      <c r="Q11">
        <v>2016</v>
      </c>
    </row>
    <row r="12" spans="1:17" x14ac:dyDescent="0.2">
      <c r="A12" s="6" t="s">
        <v>120</v>
      </c>
      <c r="B12" s="8">
        <v>27</v>
      </c>
      <c r="C12" s="6">
        <v>76.67</v>
      </c>
      <c r="D12" s="7">
        <v>60</v>
      </c>
      <c r="E12" s="8">
        <v>16.670000000000002</v>
      </c>
      <c r="F12" s="12">
        <v>2.1562499999999998E-2</v>
      </c>
      <c r="G12" s="8">
        <v>24</v>
      </c>
      <c r="I12">
        <v>11</v>
      </c>
      <c r="J12" t="s">
        <v>2</v>
      </c>
      <c r="K12">
        <f>VLOOKUP(J12,Offense_2016[],2)</f>
        <v>38.6</v>
      </c>
      <c r="L12">
        <f>VLOOKUP(J12,Offense_2016[],3)</f>
        <v>90.32</v>
      </c>
      <c r="M12">
        <f>VLOOKUP($J12,Offense_2016[],4)</f>
        <v>72.58</v>
      </c>
      <c r="N12">
        <f>VLOOKUP($J12,Offense_2016[],5)</f>
        <v>17.739999999999998</v>
      </c>
      <c r="O12" s="1">
        <f>VLOOKUP($J12,Offense_2016[],6)</f>
        <v>2.0032060185185184E-2</v>
      </c>
      <c r="P12">
        <f>VLOOKUP($J12,Offense_2016[],7)</f>
        <v>14</v>
      </c>
      <c r="Q12">
        <v>2016</v>
      </c>
    </row>
    <row r="13" spans="1:17" x14ac:dyDescent="0.2">
      <c r="A13" s="9" t="s">
        <v>94</v>
      </c>
      <c r="B13" s="11">
        <v>34.6</v>
      </c>
      <c r="C13" s="9">
        <v>77.5</v>
      </c>
      <c r="D13" s="10">
        <v>45</v>
      </c>
      <c r="E13" s="11">
        <v>32.5</v>
      </c>
      <c r="F13" s="13">
        <v>1.8759837962962964E-2</v>
      </c>
      <c r="G13" s="11">
        <v>27</v>
      </c>
      <c r="I13">
        <v>12</v>
      </c>
      <c r="J13" t="s">
        <v>37</v>
      </c>
      <c r="K13">
        <f>VLOOKUP(J13,Offense_2016[],2)</f>
        <v>26.3</v>
      </c>
      <c r="L13">
        <f>VLOOKUP(J13,Offense_2016[],3)</f>
        <v>80.95</v>
      </c>
      <c r="M13">
        <f>VLOOKUP($J13,Offense_2016[],4)</f>
        <v>50</v>
      </c>
      <c r="N13">
        <f>VLOOKUP($J13,Offense_2016[],5)</f>
        <v>30.95</v>
      </c>
      <c r="O13" s="1">
        <f>VLOOKUP($J13,Offense_2016[],6)</f>
        <v>2.2764467592592593E-2</v>
      </c>
      <c r="P13">
        <f>VLOOKUP($J13,Offense_2016[],7)</f>
        <v>18</v>
      </c>
      <c r="Q13">
        <v>2016</v>
      </c>
    </row>
    <row r="14" spans="1:17" x14ac:dyDescent="0.2">
      <c r="A14" s="6" t="s">
        <v>33</v>
      </c>
      <c r="B14" s="8">
        <v>33.799999999999997</v>
      </c>
      <c r="C14" s="6">
        <v>86.54</v>
      </c>
      <c r="D14" s="7">
        <v>59.62</v>
      </c>
      <c r="E14" s="8">
        <v>26.92</v>
      </c>
      <c r="F14" s="12">
        <v>1.9459606481481481E-2</v>
      </c>
      <c r="G14" s="8">
        <v>18</v>
      </c>
      <c r="I14">
        <v>13</v>
      </c>
      <c r="J14" t="s">
        <v>70</v>
      </c>
      <c r="K14">
        <f>VLOOKUP(J14,Offense_2016[],2)</f>
        <v>28.3</v>
      </c>
      <c r="L14">
        <f>VLOOKUP(J14,Offense_2016[],3)</f>
        <v>84.91</v>
      </c>
      <c r="M14">
        <f>VLOOKUP($J14,Offense_2016[],4)</f>
        <v>62.26</v>
      </c>
      <c r="N14">
        <f>VLOOKUP($J14,Offense_2016[],5)</f>
        <v>22.64</v>
      </c>
      <c r="O14" s="1">
        <f>VLOOKUP($J14,Offense_2016[],6)</f>
        <v>2.161747685185185E-2</v>
      </c>
      <c r="P14">
        <f>VLOOKUP($J14,Offense_2016[],7)</f>
        <v>17</v>
      </c>
      <c r="Q14">
        <v>2016</v>
      </c>
    </row>
    <row r="15" spans="1:17" x14ac:dyDescent="0.2">
      <c r="A15" s="9" t="s">
        <v>79</v>
      </c>
      <c r="B15" s="11">
        <v>20.399999999999999</v>
      </c>
      <c r="C15" s="9">
        <v>82.93</v>
      </c>
      <c r="D15" s="10">
        <v>60.98</v>
      </c>
      <c r="E15" s="11">
        <v>21.95</v>
      </c>
      <c r="F15" s="13">
        <v>2.3240740740740742E-2</v>
      </c>
      <c r="G15" s="11">
        <v>20</v>
      </c>
      <c r="I15">
        <v>14</v>
      </c>
      <c r="J15" t="s">
        <v>108</v>
      </c>
      <c r="K15">
        <f>VLOOKUP(J15,Offense_2016[],2)</f>
        <v>23.9</v>
      </c>
      <c r="L15">
        <f>VLOOKUP(J15,Offense_2016[],3)</f>
        <v>83.33</v>
      </c>
      <c r="M15">
        <f>VLOOKUP($J15,Offense_2016[],4)</f>
        <v>54.76</v>
      </c>
      <c r="N15">
        <f>VLOOKUP($J15,Offense_2016[],5)</f>
        <v>28.57</v>
      </c>
      <c r="O15" s="1">
        <f>VLOOKUP($J15,Offense_2016[],6)</f>
        <v>2.1679976851851853E-2</v>
      </c>
      <c r="P15">
        <f>VLOOKUP($J15,Offense_2016[],7)</f>
        <v>22</v>
      </c>
      <c r="Q15">
        <v>2016</v>
      </c>
    </row>
    <row r="16" spans="1:17" x14ac:dyDescent="0.2">
      <c r="A16" s="6" t="s">
        <v>87</v>
      </c>
      <c r="B16" s="8">
        <v>24.8</v>
      </c>
      <c r="C16" s="6">
        <v>90.48</v>
      </c>
      <c r="D16" s="7">
        <v>52.38</v>
      </c>
      <c r="E16" s="8">
        <v>38.1</v>
      </c>
      <c r="F16" s="12">
        <v>1.9907407407407408E-2</v>
      </c>
      <c r="G16" s="8">
        <v>33</v>
      </c>
      <c r="I16">
        <v>15</v>
      </c>
      <c r="J16" t="s">
        <v>29</v>
      </c>
      <c r="K16">
        <f>VLOOKUP(J16,Offense_2016[],2)</f>
        <v>41.6</v>
      </c>
      <c r="L16">
        <f>VLOOKUP(J16,Offense_2016[],3)</f>
        <v>86</v>
      </c>
      <c r="M16">
        <f>VLOOKUP($J16,Offense_2016[],4)</f>
        <v>70</v>
      </c>
      <c r="N16">
        <f>VLOOKUP($J16,Offense_2016[],5)</f>
        <v>16</v>
      </c>
      <c r="O16" s="1">
        <f>VLOOKUP($J16,Offense_2016[],6)</f>
        <v>2.3640856481481481E-2</v>
      </c>
      <c r="P16">
        <f>VLOOKUP($J16,Offense_2016[],7)</f>
        <v>8</v>
      </c>
      <c r="Q16">
        <v>2016</v>
      </c>
    </row>
    <row r="17" spans="1:17" x14ac:dyDescent="0.2">
      <c r="A17" s="9" t="s">
        <v>66</v>
      </c>
      <c r="B17" s="11">
        <v>16.5</v>
      </c>
      <c r="C17" s="9">
        <v>76.36</v>
      </c>
      <c r="D17" s="10">
        <v>52.73</v>
      </c>
      <c r="E17" s="11">
        <v>23.64</v>
      </c>
      <c r="F17" s="13">
        <v>1.8732638888888889E-2</v>
      </c>
      <c r="G17" s="11">
        <v>19</v>
      </c>
      <c r="I17">
        <v>16</v>
      </c>
      <c r="J17" t="s">
        <v>64</v>
      </c>
      <c r="K17">
        <f>VLOOKUP(J17,Offense_2016[],2)</f>
        <v>35</v>
      </c>
      <c r="L17">
        <f>VLOOKUP(J17,Offense_2016[],3)</f>
        <v>83.78</v>
      </c>
      <c r="M17">
        <f>VLOOKUP($J17,Offense_2016[],4)</f>
        <v>81.08</v>
      </c>
      <c r="N17">
        <f>VLOOKUP($J17,Offense_2016[],5)</f>
        <v>2.7</v>
      </c>
      <c r="O17" s="1">
        <f>VLOOKUP($J17,Offense_2016[],6)</f>
        <v>2.1705555555555558E-2</v>
      </c>
      <c r="P17">
        <f>VLOOKUP($J17,Offense_2016[],7)</f>
        <v>26</v>
      </c>
      <c r="Q17">
        <v>2016</v>
      </c>
    </row>
    <row r="18" spans="1:17" x14ac:dyDescent="0.2">
      <c r="A18" s="6" t="s">
        <v>122</v>
      </c>
      <c r="B18" s="8">
        <v>29.5</v>
      </c>
      <c r="C18" s="6">
        <v>73.680000000000007</v>
      </c>
      <c r="D18" s="7">
        <v>44.74</v>
      </c>
      <c r="E18" s="8">
        <v>28.95</v>
      </c>
      <c r="F18" s="12">
        <v>2.2682523148148146E-2</v>
      </c>
      <c r="G18" s="8">
        <v>19</v>
      </c>
      <c r="I18">
        <v>17</v>
      </c>
      <c r="J18" t="s">
        <v>77</v>
      </c>
      <c r="K18">
        <f>VLOOKUP(J18,Offense_2016[],2)</f>
        <v>31.1</v>
      </c>
      <c r="L18">
        <f>VLOOKUP(J18,Offense_2016[],3)</f>
        <v>86.21</v>
      </c>
      <c r="M18">
        <f>VLOOKUP($J18,Offense_2016[],4)</f>
        <v>65.52</v>
      </c>
      <c r="N18">
        <f>VLOOKUP($J18,Offense_2016[],5)</f>
        <v>20.69</v>
      </c>
      <c r="O18" s="1">
        <f>VLOOKUP($J18,Offense_2016[],6)</f>
        <v>2.1422800925925925E-2</v>
      </c>
      <c r="P18">
        <f>VLOOKUP($J18,Offense_2016[],7)</f>
        <v>20</v>
      </c>
      <c r="Q18">
        <v>2016</v>
      </c>
    </row>
    <row r="19" spans="1:17" x14ac:dyDescent="0.2">
      <c r="A19" s="9" t="s">
        <v>72</v>
      </c>
      <c r="B19" s="11">
        <v>37.1</v>
      </c>
      <c r="C19" s="9">
        <v>81.63</v>
      </c>
      <c r="D19" s="10">
        <v>55.1</v>
      </c>
      <c r="E19" s="11">
        <v>26.53</v>
      </c>
      <c r="F19" s="13">
        <v>1.9654745370370371E-2</v>
      </c>
      <c r="G19" s="11">
        <v>15</v>
      </c>
      <c r="I19">
        <v>18</v>
      </c>
      <c r="J19" t="s">
        <v>20</v>
      </c>
      <c r="K19">
        <f>VLOOKUP(J19,Offense_2016[],2)</f>
        <v>31.2</v>
      </c>
      <c r="L19">
        <f>VLOOKUP(J19,Offense_2016[],3)</f>
        <v>82.76</v>
      </c>
      <c r="M19">
        <f>VLOOKUP($J19,Offense_2016[],4)</f>
        <v>65.52</v>
      </c>
      <c r="N19">
        <f>VLOOKUP($J19,Offense_2016[],5)</f>
        <v>17.239999999999998</v>
      </c>
      <c r="O19" s="1">
        <f>VLOOKUP($J19,Offense_2016[],6)</f>
        <v>2.0224305555555554E-2</v>
      </c>
      <c r="P19">
        <f>VLOOKUP($J19,Offense_2016[],7)</f>
        <v>21</v>
      </c>
      <c r="Q19">
        <v>2016</v>
      </c>
    </row>
    <row r="20" spans="1:17" x14ac:dyDescent="0.2">
      <c r="A20" s="6" t="s">
        <v>54</v>
      </c>
      <c r="B20" s="8">
        <v>26.3</v>
      </c>
      <c r="C20" s="6">
        <v>78.569999999999993</v>
      </c>
      <c r="D20" s="7">
        <v>61.9</v>
      </c>
      <c r="E20" s="8">
        <v>16.670000000000002</v>
      </c>
      <c r="F20" s="12">
        <v>2.2451041666666668E-2</v>
      </c>
      <c r="G20" s="8">
        <v>24</v>
      </c>
      <c r="I20">
        <v>19</v>
      </c>
      <c r="J20" t="s">
        <v>15</v>
      </c>
      <c r="K20">
        <f>VLOOKUP(J20,Offense_2016[],2)</f>
        <v>43.8</v>
      </c>
      <c r="L20">
        <f>VLOOKUP(J20,Offense_2016[],3)</f>
        <v>84.38</v>
      </c>
      <c r="M20">
        <f>VLOOKUP($J20,Offense_2016[],4)</f>
        <v>56.25</v>
      </c>
      <c r="N20">
        <f>VLOOKUP($J20,Offense_2016[],5)</f>
        <v>28.13</v>
      </c>
      <c r="O20" s="1">
        <f>VLOOKUP($J20,Offense_2016[],6)</f>
        <v>1.8620949074074074E-2</v>
      </c>
      <c r="P20">
        <f>VLOOKUP($J20,Offense_2016[],7)</f>
        <v>17</v>
      </c>
      <c r="Q20">
        <v>2016</v>
      </c>
    </row>
    <row r="21" spans="1:17" x14ac:dyDescent="0.2">
      <c r="A21" s="9" t="s">
        <v>126</v>
      </c>
      <c r="B21" s="11">
        <v>25.2</v>
      </c>
      <c r="C21" s="9">
        <v>69.23</v>
      </c>
      <c r="D21" s="10">
        <v>57.69</v>
      </c>
      <c r="E21" s="11">
        <v>11.54</v>
      </c>
      <c r="F21" s="13">
        <v>2.013310185185185E-2</v>
      </c>
      <c r="G21" s="11">
        <v>15</v>
      </c>
      <c r="I21">
        <v>20</v>
      </c>
      <c r="J21" t="s">
        <v>39</v>
      </c>
      <c r="K21">
        <f>VLOOKUP(J21,Offense_2016[],2)</f>
        <v>34.299999999999997</v>
      </c>
      <c r="L21">
        <f>VLOOKUP(J21,Offense_2016[],3)</f>
        <v>92.16</v>
      </c>
      <c r="M21">
        <f>VLOOKUP($J21,Offense_2016[],4)</f>
        <v>76.47</v>
      </c>
      <c r="N21">
        <f>VLOOKUP($J21,Offense_2016[],5)</f>
        <v>15.69</v>
      </c>
      <c r="O21" s="1">
        <f>VLOOKUP($J21,Offense_2016[],6)</f>
        <v>1.9430208333333334E-2</v>
      </c>
      <c r="P21">
        <f>VLOOKUP($J21,Offense_2016[],7)</f>
        <v>10</v>
      </c>
      <c r="Q21">
        <v>2016</v>
      </c>
    </row>
    <row r="22" spans="1:17" x14ac:dyDescent="0.2">
      <c r="A22" s="6" t="s">
        <v>110</v>
      </c>
      <c r="B22" s="8">
        <v>19.3</v>
      </c>
      <c r="C22" s="6">
        <v>75</v>
      </c>
      <c r="D22" s="7">
        <v>54.55</v>
      </c>
      <c r="E22" s="8">
        <v>20.45</v>
      </c>
      <c r="F22" s="12">
        <v>1.8399884259259262E-2</v>
      </c>
      <c r="G22" s="8">
        <v>23</v>
      </c>
      <c r="I22">
        <v>21</v>
      </c>
      <c r="J22" t="s">
        <v>12</v>
      </c>
      <c r="K22">
        <f>VLOOKUP(J22,Offense_2016[],2)</f>
        <v>42.5</v>
      </c>
      <c r="L22">
        <f>VLOOKUP(J22,Offense_2016[],3)</f>
        <v>82.61</v>
      </c>
      <c r="M22">
        <f>VLOOKUP($J22,Offense_2016[],4)</f>
        <v>67.39</v>
      </c>
      <c r="N22">
        <f>VLOOKUP($J22,Offense_2016[],5)</f>
        <v>15.22</v>
      </c>
      <c r="O22" s="1">
        <f>VLOOKUP($J22,Offense_2016[],6)</f>
        <v>1.9985763888888886E-2</v>
      </c>
      <c r="P22">
        <f>VLOOKUP($J22,Offense_2016[],7)</f>
        <v>32</v>
      </c>
      <c r="Q22">
        <v>2016</v>
      </c>
    </row>
    <row r="23" spans="1:17" x14ac:dyDescent="0.2">
      <c r="A23" s="9" t="s">
        <v>24</v>
      </c>
      <c r="B23" s="11">
        <v>39.200000000000003</v>
      </c>
      <c r="C23" s="9">
        <v>90.91</v>
      </c>
      <c r="D23" s="10">
        <v>72.73</v>
      </c>
      <c r="E23" s="11">
        <v>18.18</v>
      </c>
      <c r="F23" s="13">
        <v>2.1250810185185185E-2</v>
      </c>
      <c r="G23" s="11">
        <v>28</v>
      </c>
      <c r="I23">
        <v>22</v>
      </c>
      <c r="J23" t="s">
        <v>117</v>
      </c>
      <c r="K23">
        <f>VLOOKUP(J23,Offense_2016[],2)</f>
        <v>36.4</v>
      </c>
      <c r="L23">
        <f>VLOOKUP(J23,Offense_2016[],3)</f>
        <v>80.95</v>
      </c>
      <c r="M23">
        <f>VLOOKUP($J23,Offense_2016[],4)</f>
        <v>50</v>
      </c>
      <c r="N23">
        <f>VLOOKUP($J23,Offense_2016[],5)</f>
        <v>30.95</v>
      </c>
      <c r="O23" s="1">
        <f>VLOOKUP($J23,Offense_2016[],6)</f>
        <v>1.9028703703703704E-2</v>
      </c>
      <c r="P23">
        <f>VLOOKUP($J23,Offense_2016[],7)</f>
        <v>26</v>
      </c>
      <c r="Q23">
        <v>2016</v>
      </c>
    </row>
    <row r="24" spans="1:17" x14ac:dyDescent="0.2">
      <c r="A24" s="6" t="s">
        <v>77</v>
      </c>
      <c r="B24" s="8">
        <v>31.1</v>
      </c>
      <c r="C24" s="6">
        <v>86.21</v>
      </c>
      <c r="D24" s="7">
        <v>65.52</v>
      </c>
      <c r="E24" s="8">
        <v>20.69</v>
      </c>
      <c r="F24" s="12">
        <v>2.1422800925925925E-2</v>
      </c>
      <c r="G24" s="8">
        <v>20</v>
      </c>
      <c r="I24">
        <v>23</v>
      </c>
      <c r="J24" t="s">
        <v>57</v>
      </c>
      <c r="K24">
        <f>VLOOKUP(J24,Offense_2016[],2)</f>
        <v>29.8</v>
      </c>
      <c r="L24">
        <f>VLOOKUP(J24,Offense_2016[],3)</f>
        <v>86</v>
      </c>
      <c r="M24">
        <f>VLOOKUP($J24,Offense_2016[],4)</f>
        <v>54</v>
      </c>
      <c r="N24">
        <f>VLOOKUP($J24,Offense_2016[],5)</f>
        <v>32</v>
      </c>
      <c r="O24" s="1">
        <f>VLOOKUP($J24,Offense_2016[],6)</f>
        <v>2.3475810185185183E-2</v>
      </c>
      <c r="P24">
        <f>VLOOKUP($J24,Offense_2016[],7)</f>
        <v>25</v>
      </c>
      <c r="Q24">
        <v>2016</v>
      </c>
    </row>
    <row r="25" spans="1:17" x14ac:dyDescent="0.2">
      <c r="A25" s="9" t="s">
        <v>30</v>
      </c>
      <c r="B25" s="11">
        <v>35.299999999999997</v>
      </c>
      <c r="C25" s="9">
        <v>84.09</v>
      </c>
      <c r="D25" s="10">
        <v>56.82</v>
      </c>
      <c r="E25" s="11">
        <v>27.27</v>
      </c>
      <c r="F25" s="13">
        <v>2.0350810185185187E-2</v>
      </c>
      <c r="G25" s="11">
        <v>15</v>
      </c>
      <c r="I25">
        <v>24</v>
      </c>
      <c r="J25" t="s">
        <v>19</v>
      </c>
      <c r="K25">
        <f>VLOOKUP(J25,Offense_2016[],2)</f>
        <v>31.2</v>
      </c>
      <c r="L25">
        <f>VLOOKUP(J25,Offense_2016[],3)</f>
        <v>90.57</v>
      </c>
      <c r="M25">
        <f>VLOOKUP($J25,Offense_2016[],4)</f>
        <v>66.040000000000006</v>
      </c>
      <c r="N25">
        <f>VLOOKUP($J25,Offense_2016[],5)</f>
        <v>24.53</v>
      </c>
      <c r="O25" s="1">
        <f>VLOOKUP($J25,Offense_2016[],6)</f>
        <v>2.0264467592592591E-2</v>
      </c>
      <c r="P25">
        <f>VLOOKUP($J25,Offense_2016[],7)</f>
        <v>14</v>
      </c>
      <c r="Q25">
        <v>2016</v>
      </c>
    </row>
    <row r="26" spans="1:17" x14ac:dyDescent="0.2">
      <c r="A26" s="6" t="s">
        <v>101</v>
      </c>
      <c r="B26" s="8">
        <v>14.8</v>
      </c>
      <c r="C26" s="6">
        <v>85</v>
      </c>
      <c r="D26" s="7">
        <v>68.33</v>
      </c>
      <c r="E26" s="8">
        <v>16.670000000000002</v>
      </c>
      <c r="F26" s="12">
        <v>2.0745601851851852E-2</v>
      </c>
      <c r="G26" s="8">
        <v>19</v>
      </c>
      <c r="I26">
        <v>25</v>
      </c>
      <c r="J26" t="s">
        <v>48</v>
      </c>
      <c r="K26">
        <f>VLOOKUP(J26,Offense_2016[],2)</f>
        <v>35.200000000000003</v>
      </c>
      <c r="L26">
        <f>VLOOKUP(J26,Offense_2016[],3)</f>
        <v>80</v>
      </c>
      <c r="M26">
        <f>VLOOKUP($J26,Offense_2016[],4)</f>
        <v>60</v>
      </c>
      <c r="N26">
        <f>VLOOKUP($J26,Offense_2016[],5)</f>
        <v>20</v>
      </c>
      <c r="O26" s="1">
        <f>VLOOKUP($J26,Offense_2016[],6)</f>
        <v>2.1790624999999997E-2</v>
      </c>
      <c r="P26">
        <f>VLOOKUP($J26,Offense_2016[],7)</f>
        <v>15</v>
      </c>
      <c r="Q26">
        <v>2016</v>
      </c>
    </row>
    <row r="27" spans="1:17" x14ac:dyDescent="0.2">
      <c r="A27" s="9" t="s">
        <v>85</v>
      </c>
      <c r="B27" s="11">
        <v>23.3</v>
      </c>
      <c r="C27" s="9">
        <v>73.81</v>
      </c>
      <c r="D27" s="10">
        <v>52.38</v>
      </c>
      <c r="E27" s="11">
        <v>21.43</v>
      </c>
      <c r="F27" s="13">
        <v>2.1822916666666668E-2</v>
      </c>
      <c r="G27" s="11">
        <v>23</v>
      </c>
    </row>
    <row r="28" spans="1:17" x14ac:dyDescent="0.2">
      <c r="A28" s="6" t="s">
        <v>89</v>
      </c>
      <c r="B28" s="8">
        <v>27</v>
      </c>
      <c r="C28" s="6">
        <v>82.98</v>
      </c>
      <c r="D28" s="7">
        <v>46.81</v>
      </c>
      <c r="E28" s="8">
        <v>36.17</v>
      </c>
      <c r="F28" s="12">
        <v>2.0945254629629626E-2</v>
      </c>
      <c r="G28" s="8">
        <v>24</v>
      </c>
    </row>
    <row r="29" spans="1:17" x14ac:dyDescent="0.2">
      <c r="A29" s="9" t="s">
        <v>81</v>
      </c>
      <c r="B29" s="11">
        <v>29.6</v>
      </c>
      <c r="C29" s="9">
        <v>75</v>
      </c>
      <c r="D29" s="10">
        <v>54.55</v>
      </c>
      <c r="E29" s="11">
        <v>20.45</v>
      </c>
      <c r="F29" s="13">
        <v>2.1383564814814817E-2</v>
      </c>
      <c r="G29" s="11">
        <v>23</v>
      </c>
    </row>
    <row r="30" spans="1:17" x14ac:dyDescent="0.2">
      <c r="A30" s="6" t="s">
        <v>108</v>
      </c>
      <c r="B30" s="8">
        <v>23.9</v>
      </c>
      <c r="C30" s="6">
        <v>83.33</v>
      </c>
      <c r="D30" s="7">
        <v>54.76</v>
      </c>
      <c r="E30" s="8">
        <v>28.57</v>
      </c>
      <c r="F30" s="12">
        <v>2.1679976851851853E-2</v>
      </c>
      <c r="G30" s="8">
        <v>22</v>
      </c>
    </row>
    <row r="31" spans="1:17" x14ac:dyDescent="0.2">
      <c r="A31" s="9" t="s">
        <v>9</v>
      </c>
      <c r="B31" s="11">
        <v>26.4</v>
      </c>
      <c r="C31" s="9">
        <v>96.77</v>
      </c>
      <c r="D31" s="10">
        <v>67.739999999999995</v>
      </c>
      <c r="E31" s="11">
        <v>29.03</v>
      </c>
      <c r="F31" s="13">
        <v>1.9247685185185184E-2</v>
      </c>
      <c r="G31" s="11">
        <v>20</v>
      </c>
    </row>
    <row r="32" spans="1:17" x14ac:dyDescent="0.2">
      <c r="A32" s="6" t="s">
        <v>95</v>
      </c>
      <c r="B32" s="8">
        <v>24</v>
      </c>
      <c r="C32" s="6">
        <v>94.34</v>
      </c>
      <c r="D32" s="7">
        <v>77.36</v>
      </c>
      <c r="E32" s="8">
        <v>16.98</v>
      </c>
      <c r="F32" s="12">
        <v>2.1922222222222221E-2</v>
      </c>
      <c r="G32" s="8">
        <v>23</v>
      </c>
    </row>
    <row r="33" spans="1:7" x14ac:dyDescent="0.2">
      <c r="A33" s="9" t="s">
        <v>88</v>
      </c>
      <c r="B33" s="11">
        <v>35.1</v>
      </c>
      <c r="C33" s="9">
        <v>96.97</v>
      </c>
      <c r="D33" s="10">
        <v>69.7</v>
      </c>
      <c r="E33" s="11">
        <v>27.27</v>
      </c>
      <c r="F33" s="13">
        <v>2.2863194444444446E-2</v>
      </c>
      <c r="G33" s="11">
        <v>20</v>
      </c>
    </row>
    <row r="34" spans="1:7" x14ac:dyDescent="0.2">
      <c r="A34" s="6" t="s">
        <v>73</v>
      </c>
      <c r="B34" s="8">
        <v>17.7</v>
      </c>
      <c r="C34" s="6">
        <v>91.67</v>
      </c>
      <c r="D34" s="7">
        <v>58.33</v>
      </c>
      <c r="E34" s="8">
        <v>33.33</v>
      </c>
      <c r="F34" s="12">
        <v>2.0007754629629629E-2</v>
      </c>
      <c r="G34" s="8">
        <v>18</v>
      </c>
    </row>
    <row r="35" spans="1:7" x14ac:dyDescent="0.2">
      <c r="A35" s="9" t="s">
        <v>22</v>
      </c>
      <c r="B35" s="11">
        <v>24.5</v>
      </c>
      <c r="C35" s="9">
        <v>88.89</v>
      </c>
      <c r="D35" s="10">
        <v>55.56</v>
      </c>
      <c r="E35" s="11">
        <v>33.33</v>
      </c>
      <c r="F35" s="13">
        <v>2.3411689814814816E-2</v>
      </c>
      <c r="G35" s="11">
        <v>19</v>
      </c>
    </row>
    <row r="36" spans="1:7" x14ac:dyDescent="0.2">
      <c r="A36" s="6" t="s">
        <v>109</v>
      </c>
      <c r="B36" s="8">
        <v>26.6</v>
      </c>
      <c r="C36" s="6">
        <v>97.78</v>
      </c>
      <c r="D36" s="7">
        <v>73.33</v>
      </c>
      <c r="E36" s="8">
        <v>24.44</v>
      </c>
      <c r="F36" s="12">
        <v>2.267650462962963E-2</v>
      </c>
      <c r="G36" s="8">
        <v>18</v>
      </c>
    </row>
    <row r="37" spans="1:7" x14ac:dyDescent="0.2">
      <c r="A37" s="9" t="s">
        <v>114</v>
      </c>
      <c r="B37" s="11">
        <v>19.899999999999999</v>
      </c>
      <c r="C37" s="9">
        <v>75</v>
      </c>
      <c r="D37" s="10">
        <v>50</v>
      </c>
      <c r="E37" s="11">
        <v>25</v>
      </c>
      <c r="F37" s="13">
        <v>1.7758449074074076E-2</v>
      </c>
      <c r="G37" s="11">
        <v>23</v>
      </c>
    </row>
    <row r="38" spans="1:7" x14ac:dyDescent="0.2">
      <c r="A38" s="6" t="s">
        <v>71</v>
      </c>
      <c r="B38" s="8">
        <v>28.2</v>
      </c>
      <c r="C38" s="6">
        <v>67.86</v>
      </c>
      <c r="D38" s="7">
        <v>50</v>
      </c>
      <c r="E38" s="8">
        <v>17.86</v>
      </c>
      <c r="F38" s="12">
        <v>2.1033680555555555E-2</v>
      </c>
      <c r="G38" s="8">
        <v>15</v>
      </c>
    </row>
    <row r="39" spans="1:7" x14ac:dyDescent="0.2">
      <c r="A39" s="9" t="s">
        <v>105</v>
      </c>
      <c r="B39" s="11">
        <v>28.3</v>
      </c>
      <c r="C39" s="9">
        <v>88.89</v>
      </c>
      <c r="D39" s="10">
        <v>72.22</v>
      </c>
      <c r="E39" s="11">
        <v>16.670000000000002</v>
      </c>
      <c r="F39" s="13">
        <v>2.0527430555555556E-2</v>
      </c>
      <c r="G39" s="11">
        <v>25</v>
      </c>
    </row>
    <row r="40" spans="1:7" x14ac:dyDescent="0.2">
      <c r="A40" s="6" t="s">
        <v>67</v>
      </c>
      <c r="B40" s="8">
        <v>35.799999999999997</v>
      </c>
      <c r="C40" s="6">
        <v>69.77</v>
      </c>
      <c r="D40" s="7">
        <v>60.47</v>
      </c>
      <c r="E40" s="8">
        <v>9.3000000000000007</v>
      </c>
      <c r="F40" s="12">
        <v>2.2961226851851851E-2</v>
      </c>
      <c r="G40" s="8">
        <v>25</v>
      </c>
    </row>
    <row r="41" spans="1:7" x14ac:dyDescent="0.2">
      <c r="A41" s="9" t="s">
        <v>115</v>
      </c>
      <c r="B41" s="11">
        <v>30.8</v>
      </c>
      <c r="C41" s="9">
        <v>86.36</v>
      </c>
      <c r="D41" s="10">
        <v>68.180000000000007</v>
      </c>
      <c r="E41" s="11">
        <v>18.18</v>
      </c>
      <c r="F41" s="13">
        <v>2.2288078703703706E-2</v>
      </c>
      <c r="G41" s="11">
        <v>17</v>
      </c>
    </row>
    <row r="42" spans="1:7" x14ac:dyDescent="0.2">
      <c r="A42" s="6" t="s">
        <v>125</v>
      </c>
      <c r="B42" s="8">
        <v>19.7</v>
      </c>
      <c r="C42" s="6">
        <v>81.08</v>
      </c>
      <c r="D42" s="7">
        <v>59.46</v>
      </c>
      <c r="E42" s="8">
        <v>21.62</v>
      </c>
      <c r="F42" s="12">
        <v>1.8132754629629631E-2</v>
      </c>
      <c r="G42" s="8">
        <v>20</v>
      </c>
    </row>
    <row r="43" spans="1:7" x14ac:dyDescent="0.2">
      <c r="A43" s="9" t="s">
        <v>76</v>
      </c>
      <c r="B43" s="11">
        <v>25.8</v>
      </c>
      <c r="C43" s="9">
        <v>88.89</v>
      </c>
      <c r="D43" s="10">
        <v>51.85</v>
      </c>
      <c r="E43" s="11">
        <v>37.04</v>
      </c>
      <c r="F43" s="13">
        <v>1.9529861111111112E-2</v>
      </c>
      <c r="G43" s="11">
        <v>29</v>
      </c>
    </row>
    <row r="44" spans="1:7" x14ac:dyDescent="0.2">
      <c r="A44" s="6" t="s">
        <v>68</v>
      </c>
      <c r="B44" s="8">
        <v>24.9</v>
      </c>
      <c r="C44" s="6">
        <v>86.36</v>
      </c>
      <c r="D44" s="7">
        <v>61.36</v>
      </c>
      <c r="E44" s="8">
        <v>25</v>
      </c>
      <c r="F44" s="12">
        <v>2.0753240740740742E-2</v>
      </c>
      <c r="G44" s="8">
        <v>12</v>
      </c>
    </row>
    <row r="45" spans="1:7" x14ac:dyDescent="0.2">
      <c r="A45" s="9" t="s">
        <v>52</v>
      </c>
      <c r="B45" s="11">
        <v>27.7</v>
      </c>
      <c r="C45" s="9">
        <v>77.27</v>
      </c>
      <c r="D45" s="10">
        <v>65.91</v>
      </c>
      <c r="E45" s="11">
        <v>11.36</v>
      </c>
      <c r="F45" s="13">
        <v>2.0595138888888889E-2</v>
      </c>
      <c r="G45" s="11">
        <v>16</v>
      </c>
    </row>
    <row r="46" spans="1:7" x14ac:dyDescent="0.2">
      <c r="A46" s="6" t="s">
        <v>118</v>
      </c>
      <c r="B46" s="8">
        <v>20.3</v>
      </c>
      <c r="C46" s="6">
        <v>87.76</v>
      </c>
      <c r="D46" s="7">
        <v>61.22</v>
      </c>
      <c r="E46" s="8">
        <v>26.53</v>
      </c>
      <c r="F46" s="12">
        <v>1.930648148148148E-2</v>
      </c>
      <c r="G46" s="8">
        <v>36</v>
      </c>
    </row>
    <row r="47" spans="1:7" x14ac:dyDescent="0.2">
      <c r="A47" s="9" t="s">
        <v>36</v>
      </c>
      <c r="B47" s="11">
        <v>32.200000000000003</v>
      </c>
      <c r="C47" s="9">
        <v>93.75</v>
      </c>
      <c r="D47" s="10">
        <v>56.25</v>
      </c>
      <c r="E47" s="11">
        <v>37.5</v>
      </c>
      <c r="F47" s="13">
        <v>2.2633564814814818E-2</v>
      </c>
      <c r="G47" s="11">
        <v>12</v>
      </c>
    </row>
    <row r="48" spans="1:7" x14ac:dyDescent="0.2">
      <c r="A48" s="6" t="s">
        <v>127</v>
      </c>
      <c r="B48" s="8">
        <v>20.6</v>
      </c>
      <c r="C48" s="6">
        <v>83.67</v>
      </c>
      <c r="D48" s="7">
        <v>59.18</v>
      </c>
      <c r="E48" s="8">
        <v>24.49</v>
      </c>
      <c r="F48" s="12">
        <v>2.0117708333333335E-2</v>
      </c>
      <c r="G48" s="8">
        <v>13</v>
      </c>
    </row>
    <row r="49" spans="1:7" x14ac:dyDescent="0.2">
      <c r="A49" s="9" t="s">
        <v>86</v>
      </c>
      <c r="B49" s="11">
        <v>30</v>
      </c>
      <c r="C49" s="9">
        <v>64</v>
      </c>
      <c r="D49" s="10">
        <v>32</v>
      </c>
      <c r="E49" s="11">
        <v>32</v>
      </c>
      <c r="F49" s="13">
        <v>2.0731828703703704E-2</v>
      </c>
      <c r="G49" s="11">
        <v>28</v>
      </c>
    </row>
    <row r="50" spans="1:7" x14ac:dyDescent="0.2">
      <c r="A50" s="6" t="s">
        <v>65</v>
      </c>
      <c r="B50" s="8">
        <v>44.3</v>
      </c>
      <c r="C50" s="6">
        <v>92.31</v>
      </c>
      <c r="D50" s="7">
        <v>61.54</v>
      </c>
      <c r="E50" s="8">
        <v>30.77</v>
      </c>
      <c r="F50" s="12">
        <v>1.9707291666666665E-2</v>
      </c>
      <c r="G50" s="8">
        <v>17</v>
      </c>
    </row>
    <row r="51" spans="1:7" x14ac:dyDescent="0.2">
      <c r="A51" s="9" t="s">
        <v>58</v>
      </c>
      <c r="B51" s="11">
        <v>23.6</v>
      </c>
      <c r="C51" s="9">
        <v>85.42</v>
      </c>
      <c r="D51" s="10">
        <v>52.08</v>
      </c>
      <c r="E51" s="11">
        <v>33.33</v>
      </c>
      <c r="F51" s="13">
        <v>2.0621412037037035E-2</v>
      </c>
      <c r="G51" s="11">
        <v>17</v>
      </c>
    </row>
    <row r="52" spans="1:7" x14ac:dyDescent="0.2">
      <c r="A52" s="6" t="s">
        <v>21</v>
      </c>
      <c r="B52" s="8">
        <v>23.3</v>
      </c>
      <c r="C52" s="6">
        <v>92.68</v>
      </c>
      <c r="D52" s="7">
        <v>75.61</v>
      </c>
      <c r="E52" s="8">
        <v>17.07</v>
      </c>
      <c r="F52" s="12">
        <v>2.0446527777777779E-2</v>
      </c>
      <c r="G52" s="8">
        <v>24</v>
      </c>
    </row>
    <row r="53" spans="1:7" x14ac:dyDescent="0.2">
      <c r="A53" s="9" t="s">
        <v>12</v>
      </c>
      <c r="B53" s="11">
        <v>42.5</v>
      </c>
      <c r="C53" s="9">
        <v>82.61</v>
      </c>
      <c r="D53" s="10">
        <v>67.39</v>
      </c>
      <c r="E53" s="11">
        <v>15.22</v>
      </c>
      <c r="F53" s="13">
        <v>1.9985763888888886E-2</v>
      </c>
      <c r="G53" s="11">
        <v>32</v>
      </c>
    </row>
    <row r="54" spans="1:7" x14ac:dyDescent="0.2">
      <c r="A54" s="6" t="s">
        <v>70</v>
      </c>
      <c r="B54" s="8">
        <v>28.3</v>
      </c>
      <c r="C54" s="6">
        <v>84.91</v>
      </c>
      <c r="D54" s="7">
        <v>62.26</v>
      </c>
      <c r="E54" s="8">
        <v>22.64</v>
      </c>
      <c r="F54" s="12">
        <v>2.161747685185185E-2</v>
      </c>
      <c r="G54" s="8">
        <v>17</v>
      </c>
    </row>
    <row r="55" spans="1:7" x14ac:dyDescent="0.2">
      <c r="A55" s="9" t="s">
        <v>78</v>
      </c>
      <c r="B55" s="11">
        <v>26.4</v>
      </c>
      <c r="C55" s="9">
        <v>78.430000000000007</v>
      </c>
      <c r="D55" s="10">
        <v>60.78</v>
      </c>
      <c r="E55" s="11">
        <v>17.649999999999999</v>
      </c>
      <c r="F55" s="13">
        <v>2.0734953703703703E-2</v>
      </c>
      <c r="G55" s="11">
        <v>16</v>
      </c>
    </row>
    <row r="56" spans="1:7" x14ac:dyDescent="0.2">
      <c r="A56" s="6" t="s">
        <v>97</v>
      </c>
      <c r="B56" s="8">
        <v>25.8</v>
      </c>
      <c r="C56" s="6">
        <v>78.95</v>
      </c>
      <c r="D56" s="7">
        <v>60.53</v>
      </c>
      <c r="E56" s="8">
        <v>18.420000000000002</v>
      </c>
      <c r="F56" s="12">
        <v>1.9288657407407407E-2</v>
      </c>
      <c r="G56" s="8">
        <v>19</v>
      </c>
    </row>
    <row r="57" spans="1:7" x14ac:dyDescent="0.2">
      <c r="A57" s="9" t="s">
        <v>60</v>
      </c>
      <c r="B57" s="11">
        <v>23.3</v>
      </c>
      <c r="C57" s="9">
        <v>75.680000000000007</v>
      </c>
      <c r="D57" s="10">
        <v>59.46</v>
      </c>
      <c r="E57" s="11">
        <v>16.22</v>
      </c>
      <c r="F57" s="13">
        <v>1.8729745370370372E-2</v>
      </c>
      <c r="G57" s="11">
        <v>25</v>
      </c>
    </row>
    <row r="58" spans="1:7" x14ac:dyDescent="0.2">
      <c r="A58" s="6" t="s">
        <v>1</v>
      </c>
      <c r="B58" s="8">
        <v>38.799999999999997</v>
      </c>
      <c r="C58" s="6">
        <v>85.37</v>
      </c>
      <c r="D58" s="7">
        <v>63.41</v>
      </c>
      <c r="E58" s="8">
        <v>21.95</v>
      </c>
      <c r="F58" s="12">
        <v>1.8905787037037037E-2</v>
      </c>
      <c r="G58" s="8">
        <v>21</v>
      </c>
    </row>
    <row r="59" spans="1:7" x14ac:dyDescent="0.2">
      <c r="A59" s="9" t="s">
        <v>39</v>
      </c>
      <c r="B59" s="11">
        <v>34.299999999999997</v>
      </c>
      <c r="C59" s="9">
        <v>92.16</v>
      </c>
      <c r="D59" s="10">
        <v>76.47</v>
      </c>
      <c r="E59" s="11">
        <v>15.69</v>
      </c>
      <c r="F59" s="13">
        <v>1.9430208333333334E-2</v>
      </c>
      <c r="G59" s="11">
        <v>10</v>
      </c>
    </row>
    <row r="60" spans="1:7" x14ac:dyDescent="0.2">
      <c r="A60" s="6" t="s">
        <v>93</v>
      </c>
      <c r="B60" s="8">
        <v>22.8</v>
      </c>
      <c r="C60" s="6">
        <v>92.5</v>
      </c>
      <c r="D60" s="7">
        <v>60</v>
      </c>
      <c r="E60" s="8">
        <v>32.5</v>
      </c>
      <c r="F60" s="12">
        <v>2.2499999999999996E-2</v>
      </c>
      <c r="G60" s="8">
        <v>20</v>
      </c>
    </row>
    <row r="61" spans="1:7" x14ac:dyDescent="0.2">
      <c r="A61" s="9" t="s">
        <v>84</v>
      </c>
      <c r="B61" s="11">
        <v>40.299999999999997</v>
      </c>
      <c r="C61" s="9">
        <v>85</v>
      </c>
      <c r="D61" s="10">
        <v>65</v>
      </c>
      <c r="E61" s="11">
        <v>20</v>
      </c>
      <c r="F61" s="13">
        <v>2.2950462962962964E-2</v>
      </c>
      <c r="G61" s="11">
        <v>12</v>
      </c>
    </row>
    <row r="62" spans="1:7" x14ac:dyDescent="0.2">
      <c r="A62" s="6" t="s">
        <v>104</v>
      </c>
      <c r="B62" s="8">
        <v>24.1</v>
      </c>
      <c r="C62" s="6">
        <v>87.18</v>
      </c>
      <c r="D62" s="7">
        <v>56.41</v>
      </c>
      <c r="E62" s="8">
        <v>30.77</v>
      </c>
      <c r="F62" s="12">
        <v>2.2010995370370368E-2</v>
      </c>
      <c r="G62" s="8">
        <v>18</v>
      </c>
    </row>
    <row r="63" spans="1:7" x14ac:dyDescent="0.2">
      <c r="A63" s="9" t="s">
        <v>91</v>
      </c>
      <c r="B63" s="11">
        <v>39.700000000000003</v>
      </c>
      <c r="C63" s="9">
        <v>80.849999999999994</v>
      </c>
      <c r="D63" s="10">
        <v>55.32</v>
      </c>
      <c r="E63" s="11">
        <v>25.53</v>
      </c>
      <c r="F63" s="13">
        <v>1.9533449074074071E-2</v>
      </c>
      <c r="G63" s="11">
        <v>21</v>
      </c>
    </row>
    <row r="64" spans="1:7" x14ac:dyDescent="0.2">
      <c r="A64" s="6" t="s">
        <v>107</v>
      </c>
      <c r="B64" s="8">
        <v>29.3</v>
      </c>
      <c r="C64" s="6">
        <v>79.41</v>
      </c>
      <c r="D64" s="7">
        <v>64.709999999999994</v>
      </c>
      <c r="E64" s="8">
        <v>17.649999999999999</v>
      </c>
      <c r="F64" s="12">
        <v>2.1601620370370372E-2</v>
      </c>
      <c r="G64" s="8">
        <v>17</v>
      </c>
    </row>
    <row r="65" spans="1:7" x14ac:dyDescent="0.2">
      <c r="A65" s="9" t="s">
        <v>34</v>
      </c>
      <c r="B65" s="11">
        <v>32.6</v>
      </c>
      <c r="C65" s="9">
        <v>80.489999999999995</v>
      </c>
      <c r="D65" s="10">
        <v>56.1</v>
      </c>
      <c r="E65" s="11">
        <v>24.39</v>
      </c>
      <c r="F65" s="13">
        <v>1.8010185185185185E-2</v>
      </c>
      <c r="G65" s="11">
        <v>19</v>
      </c>
    </row>
    <row r="66" spans="1:7" x14ac:dyDescent="0.2">
      <c r="A66" s="6" t="s">
        <v>35</v>
      </c>
      <c r="B66" s="8">
        <v>30.4</v>
      </c>
      <c r="C66" s="6">
        <v>95.35</v>
      </c>
      <c r="D66" s="7">
        <v>55.81</v>
      </c>
      <c r="E66" s="8">
        <v>39.53</v>
      </c>
      <c r="F66" s="12">
        <v>2.0037384259259262E-2</v>
      </c>
      <c r="G66" s="8">
        <v>16</v>
      </c>
    </row>
    <row r="67" spans="1:7" x14ac:dyDescent="0.2">
      <c r="A67" s="9" t="s">
        <v>10</v>
      </c>
      <c r="B67" s="11">
        <v>31.4</v>
      </c>
      <c r="C67" s="9">
        <v>84.91</v>
      </c>
      <c r="D67" s="10">
        <v>64.150000000000006</v>
      </c>
      <c r="E67" s="11">
        <v>20.75</v>
      </c>
      <c r="F67" s="13">
        <v>1.6876967592592593E-2</v>
      </c>
      <c r="G67" s="11">
        <v>23</v>
      </c>
    </row>
    <row r="68" spans="1:7" x14ac:dyDescent="0.2">
      <c r="A68" s="6" t="s">
        <v>49</v>
      </c>
      <c r="B68" s="8">
        <v>37.9</v>
      </c>
      <c r="C68" s="6">
        <v>90.2</v>
      </c>
      <c r="D68" s="7">
        <v>66.67</v>
      </c>
      <c r="E68" s="8">
        <v>23.53</v>
      </c>
      <c r="F68" s="12">
        <v>2.1659259259259257E-2</v>
      </c>
      <c r="G68" s="8">
        <v>16</v>
      </c>
    </row>
    <row r="69" spans="1:7" x14ac:dyDescent="0.2">
      <c r="A69" s="9" t="s">
        <v>83</v>
      </c>
      <c r="B69" s="11">
        <v>26.5</v>
      </c>
      <c r="C69" s="9">
        <v>83.33</v>
      </c>
      <c r="D69" s="10">
        <v>69.05</v>
      </c>
      <c r="E69" s="11">
        <v>14.29</v>
      </c>
      <c r="F69" s="13">
        <v>2.2335300925925925E-2</v>
      </c>
      <c r="G69" s="11">
        <v>14</v>
      </c>
    </row>
    <row r="70" spans="1:7" x14ac:dyDescent="0.2">
      <c r="A70" s="6" t="s">
        <v>69</v>
      </c>
      <c r="B70" s="8">
        <v>25.4</v>
      </c>
      <c r="C70" s="6">
        <v>75.56</v>
      </c>
      <c r="D70" s="7">
        <v>51.11</v>
      </c>
      <c r="E70" s="8">
        <v>24.44</v>
      </c>
      <c r="F70" s="12">
        <v>2.0338541666666668E-2</v>
      </c>
      <c r="G70" s="8">
        <v>11</v>
      </c>
    </row>
    <row r="71" spans="1:7" x14ac:dyDescent="0.2">
      <c r="A71" s="9" t="s">
        <v>111</v>
      </c>
      <c r="B71" s="11">
        <v>36.700000000000003</v>
      </c>
      <c r="C71" s="9">
        <v>82.22</v>
      </c>
      <c r="D71" s="10">
        <v>66.67</v>
      </c>
      <c r="E71" s="11">
        <v>15.56</v>
      </c>
      <c r="F71" s="13">
        <v>2.3552314814814818E-2</v>
      </c>
      <c r="G71" s="11">
        <v>14</v>
      </c>
    </row>
    <row r="72" spans="1:7" x14ac:dyDescent="0.2">
      <c r="A72" s="6" t="s">
        <v>50</v>
      </c>
      <c r="B72" s="8">
        <v>24.8</v>
      </c>
      <c r="C72" s="6">
        <v>71.88</v>
      </c>
      <c r="D72" s="7">
        <v>53.13</v>
      </c>
      <c r="E72" s="8">
        <v>18.75</v>
      </c>
      <c r="F72" s="12">
        <v>1.845775462962963E-2</v>
      </c>
      <c r="G72" s="8">
        <v>22</v>
      </c>
    </row>
    <row r="73" spans="1:7" x14ac:dyDescent="0.2">
      <c r="A73" s="9" t="s">
        <v>82</v>
      </c>
      <c r="B73" s="11">
        <v>32.299999999999997</v>
      </c>
      <c r="C73" s="9">
        <v>82.5</v>
      </c>
      <c r="D73" s="10">
        <v>67.5</v>
      </c>
      <c r="E73" s="11">
        <v>15</v>
      </c>
      <c r="F73" s="13">
        <v>1.6938194444444443E-2</v>
      </c>
      <c r="G73" s="11">
        <v>16</v>
      </c>
    </row>
    <row r="74" spans="1:7" x14ac:dyDescent="0.2">
      <c r="A74" s="6" t="s">
        <v>46</v>
      </c>
      <c r="B74" s="8">
        <v>27</v>
      </c>
      <c r="C74" s="6">
        <v>83.78</v>
      </c>
      <c r="D74" s="7">
        <v>70.27</v>
      </c>
      <c r="E74" s="8">
        <v>13.51</v>
      </c>
      <c r="F74" s="12">
        <v>2.2114467592592595E-2</v>
      </c>
      <c r="G74" s="8">
        <v>20</v>
      </c>
    </row>
    <row r="75" spans="1:7" x14ac:dyDescent="0.2">
      <c r="A75" s="9" t="s">
        <v>16</v>
      </c>
      <c r="B75" s="11">
        <v>24.8</v>
      </c>
      <c r="C75" s="9">
        <v>71.7</v>
      </c>
      <c r="D75" s="10">
        <v>58.49</v>
      </c>
      <c r="E75" s="11">
        <v>13.21</v>
      </c>
      <c r="F75" s="13">
        <v>1.9099884259259261E-2</v>
      </c>
      <c r="G75" s="11">
        <v>21</v>
      </c>
    </row>
    <row r="76" spans="1:7" x14ac:dyDescent="0.2">
      <c r="A76" s="6" t="s">
        <v>51</v>
      </c>
      <c r="B76" s="8">
        <v>30.5</v>
      </c>
      <c r="C76" s="6">
        <v>91.3</v>
      </c>
      <c r="D76" s="7">
        <v>73.91</v>
      </c>
      <c r="E76" s="8">
        <v>17.39</v>
      </c>
      <c r="F76" s="12">
        <v>1.9286226851851853E-2</v>
      </c>
      <c r="G76" s="8">
        <v>17</v>
      </c>
    </row>
    <row r="77" spans="1:7" x14ac:dyDescent="0.2">
      <c r="A77" s="9" t="s">
        <v>55</v>
      </c>
      <c r="B77" s="11">
        <v>26</v>
      </c>
      <c r="C77" s="9">
        <v>81.819999999999993</v>
      </c>
      <c r="D77" s="10">
        <v>63.64</v>
      </c>
      <c r="E77" s="11">
        <v>18.18</v>
      </c>
      <c r="F77" s="13">
        <v>1.9890509259259257E-2</v>
      </c>
      <c r="G77" s="11">
        <v>16</v>
      </c>
    </row>
    <row r="78" spans="1:7" x14ac:dyDescent="0.2">
      <c r="A78" s="6" t="s">
        <v>23</v>
      </c>
      <c r="B78" s="8">
        <v>30.9</v>
      </c>
      <c r="C78" s="6">
        <v>90.74</v>
      </c>
      <c r="D78" s="7">
        <v>72.22</v>
      </c>
      <c r="E78" s="8">
        <v>18.52</v>
      </c>
      <c r="F78" s="12">
        <v>2.0090624999999997E-2</v>
      </c>
      <c r="G78" s="8">
        <v>18</v>
      </c>
    </row>
    <row r="79" spans="1:7" x14ac:dyDescent="0.2">
      <c r="A79" s="9" t="s">
        <v>13</v>
      </c>
      <c r="B79" s="11">
        <v>26.3</v>
      </c>
      <c r="C79" s="9">
        <v>91.11</v>
      </c>
      <c r="D79" s="10">
        <v>75.56</v>
      </c>
      <c r="E79" s="11">
        <v>15.56</v>
      </c>
      <c r="F79" s="13">
        <v>2.1521180555555557E-2</v>
      </c>
      <c r="G79" s="11">
        <v>25</v>
      </c>
    </row>
    <row r="80" spans="1:7" x14ac:dyDescent="0.2">
      <c r="A80" s="6" t="s">
        <v>4</v>
      </c>
      <c r="B80" s="8">
        <v>39.4</v>
      </c>
      <c r="C80" s="6">
        <v>91.53</v>
      </c>
      <c r="D80" s="7">
        <v>79.66</v>
      </c>
      <c r="E80" s="8">
        <v>11.86</v>
      </c>
      <c r="F80" s="12">
        <v>2.3036805555555557E-2</v>
      </c>
      <c r="G80" s="8">
        <v>12</v>
      </c>
    </row>
    <row r="81" spans="1:7" x14ac:dyDescent="0.2">
      <c r="A81" s="9" t="s">
        <v>3</v>
      </c>
      <c r="B81" s="11">
        <v>43.9</v>
      </c>
      <c r="C81" s="9">
        <v>88.89</v>
      </c>
      <c r="D81" s="10">
        <v>68.25</v>
      </c>
      <c r="E81" s="11">
        <v>20.63</v>
      </c>
      <c r="F81" s="13">
        <v>2.2409143518518516E-2</v>
      </c>
      <c r="G81" s="11">
        <v>17</v>
      </c>
    </row>
    <row r="82" spans="1:7" x14ac:dyDescent="0.2">
      <c r="A82" s="6" t="s">
        <v>2</v>
      </c>
      <c r="B82" s="8">
        <v>38.6</v>
      </c>
      <c r="C82" s="6">
        <v>90.32</v>
      </c>
      <c r="D82" s="7">
        <v>72.58</v>
      </c>
      <c r="E82" s="8">
        <v>17.739999999999998</v>
      </c>
      <c r="F82" s="12">
        <v>2.0032060185185184E-2</v>
      </c>
      <c r="G82" s="8">
        <v>14</v>
      </c>
    </row>
    <row r="83" spans="1:7" x14ac:dyDescent="0.2">
      <c r="A83" s="9" t="s">
        <v>113</v>
      </c>
      <c r="B83" s="11">
        <v>35.1</v>
      </c>
      <c r="C83" s="9">
        <v>88.57</v>
      </c>
      <c r="D83" s="10">
        <v>67.14</v>
      </c>
      <c r="E83" s="11">
        <v>21.43</v>
      </c>
      <c r="F83" s="13">
        <v>2.0604513888888887E-2</v>
      </c>
      <c r="G83" s="11">
        <v>10</v>
      </c>
    </row>
    <row r="84" spans="1:7" x14ac:dyDescent="0.2">
      <c r="A84" s="6" t="s">
        <v>18</v>
      </c>
      <c r="B84" s="8">
        <v>35.4</v>
      </c>
      <c r="C84" s="6">
        <v>85.71</v>
      </c>
      <c r="D84" s="7">
        <v>51.43</v>
      </c>
      <c r="E84" s="8">
        <v>34.29</v>
      </c>
      <c r="F84" s="12">
        <v>1.7870370370370373E-2</v>
      </c>
      <c r="G84" s="8">
        <v>15</v>
      </c>
    </row>
    <row r="85" spans="1:7" x14ac:dyDescent="0.2">
      <c r="A85" s="9" t="s">
        <v>112</v>
      </c>
      <c r="B85" s="11">
        <v>26.2</v>
      </c>
      <c r="C85" s="9">
        <v>89.09</v>
      </c>
      <c r="D85" s="10">
        <v>78.180000000000007</v>
      </c>
      <c r="E85" s="11">
        <v>10.91</v>
      </c>
      <c r="F85" s="13">
        <v>2.1377314814814818E-2</v>
      </c>
      <c r="G85" s="11">
        <v>19</v>
      </c>
    </row>
    <row r="86" spans="1:7" x14ac:dyDescent="0.2">
      <c r="A86" s="6" t="s">
        <v>6</v>
      </c>
      <c r="B86" s="8">
        <v>37.6</v>
      </c>
      <c r="C86" s="6">
        <v>88.57</v>
      </c>
      <c r="D86" s="7">
        <v>62.86</v>
      </c>
      <c r="E86" s="8">
        <v>25.71</v>
      </c>
      <c r="F86" s="12">
        <v>1.9260069444444444E-2</v>
      </c>
      <c r="G86" s="8">
        <v>20</v>
      </c>
    </row>
    <row r="87" spans="1:7" x14ac:dyDescent="0.2">
      <c r="A87" s="9" t="s">
        <v>99</v>
      </c>
      <c r="B87" s="11">
        <v>40.9</v>
      </c>
      <c r="C87" s="9">
        <v>91.07</v>
      </c>
      <c r="D87" s="10">
        <v>78.569999999999993</v>
      </c>
      <c r="E87" s="11">
        <v>12.5</v>
      </c>
      <c r="F87" s="13">
        <v>2.1450347222222221E-2</v>
      </c>
      <c r="G87" s="11">
        <v>18</v>
      </c>
    </row>
    <row r="88" spans="1:7" x14ac:dyDescent="0.2">
      <c r="A88" s="6" t="s">
        <v>96</v>
      </c>
      <c r="B88" s="8">
        <v>24.6</v>
      </c>
      <c r="C88" s="6">
        <v>77.14</v>
      </c>
      <c r="D88" s="7">
        <v>68.569999999999993</v>
      </c>
      <c r="E88" s="8">
        <v>8.57</v>
      </c>
      <c r="F88" s="12">
        <v>2.036365740740741E-2</v>
      </c>
      <c r="G88" s="8">
        <v>33</v>
      </c>
    </row>
    <row r="89" spans="1:7" x14ac:dyDescent="0.2">
      <c r="A89" s="9" t="s">
        <v>123</v>
      </c>
      <c r="B89" s="11">
        <v>25.3</v>
      </c>
      <c r="C89" s="9">
        <v>88.89</v>
      </c>
      <c r="D89" s="10">
        <v>57.78</v>
      </c>
      <c r="E89" s="11">
        <v>31.11</v>
      </c>
      <c r="F89" s="13">
        <v>2.112650462962963E-2</v>
      </c>
      <c r="G89" s="11">
        <v>18</v>
      </c>
    </row>
    <row r="90" spans="1:7" x14ac:dyDescent="0.2">
      <c r="A90" s="6" t="s">
        <v>119</v>
      </c>
      <c r="B90" s="8">
        <v>15.7</v>
      </c>
      <c r="C90" s="6">
        <v>74.069999999999993</v>
      </c>
      <c r="D90" s="7">
        <v>62.96</v>
      </c>
      <c r="E90" s="8">
        <v>11.11</v>
      </c>
      <c r="F90" s="12">
        <v>1.8867708333333334E-2</v>
      </c>
      <c r="G90" s="8">
        <v>19</v>
      </c>
    </row>
    <row r="91" spans="1:7" x14ac:dyDescent="0.2">
      <c r="A91" s="9" t="s">
        <v>48</v>
      </c>
      <c r="B91" s="11">
        <v>35.200000000000003</v>
      </c>
      <c r="C91" s="9">
        <v>80</v>
      </c>
      <c r="D91" s="10">
        <v>60</v>
      </c>
      <c r="E91" s="11">
        <v>20</v>
      </c>
      <c r="F91" s="13">
        <v>2.1790624999999997E-2</v>
      </c>
      <c r="G91" s="11">
        <v>15</v>
      </c>
    </row>
    <row r="92" spans="1:7" x14ac:dyDescent="0.2">
      <c r="A92" s="6" t="s">
        <v>124</v>
      </c>
      <c r="B92" s="8">
        <v>24.4</v>
      </c>
      <c r="C92" s="6">
        <v>85.37</v>
      </c>
      <c r="D92" s="7">
        <v>63.41</v>
      </c>
      <c r="E92" s="8">
        <v>21.95</v>
      </c>
      <c r="F92" s="12">
        <v>2.1380208333333334E-2</v>
      </c>
      <c r="G92" s="8">
        <v>20</v>
      </c>
    </row>
    <row r="93" spans="1:7" x14ac:dyDescent="0.2">
      <c r="A93" s="9" t="s">
        <v>7</v>
      </c>
      <c r="B93" s="11">
        <v>27.7</v>
      </c>
      <c r="C93" s="9">
        <v>65.52</v>
      </c>
      <c r="D93" s="10">
        <v>44.83</v>
      </c>
      <c r="E93" s="11">
        <v>20.69</v>
      </c>
      <c r="F93" s="13">
        <v>2.1270254629629629E-2</v>
      </c>
      <c r="G93" s="11">
        <v>24</v>
      </c>
    </row>
    <row r="94" spans="1:7" x14ac:dyDescent="0.2">
      <c r="A94" s="6" t="s">
        <v>116</v>
      </c>
      <c r="B94" s="8">
        <v>25.4</v>
      </c>
      <c r="C94" s="6">
        <v>87.5</v>
      </c>
      <c r="D94" s="7">
        <v>66.67</v>
      </c>
      <c r="E94" s="8">
        <v>20.83</v>
      </c>
      <c r="F94" s="12">
        <v>2.0489699074074077E-2</v>
      </c>
      <c r="G94" s="8">
        <v>22</v>
      </c>
    </row>
    <row r="95" spans="1:7" x14ac:dyDescent="0.2">
      <c r="A95" s="9" t="s">
        <v>98</v>
      </c>
      <c r="B95" s="11">
        <v>20.8</v>
      </c>
      <c r="C95" s="9">
        <v>73.53</v>
      </c>
      <c r="D95" s="10">
        <v>44.12</v>
      </c>
      <c r="E95" s="11">
        <v>29.41</v>
      </c>
      <c r="F95" s="13">
        <v>2.0795023148148146E-2</v>
      </c>
      <c r="G95" s="11">
        <v>20</v>
      </c>
    </row>
    <row r="96" spans="1:7" x14ac:dyDescent="0.2">
      <c r="A96" s="6" t="s">
        <v>15</v>
      </c>
      <c r="B96" s="8">
        <v>43.8</v>
      </c>
      <c r="C96" s="6">
        <v>84.38</v>
      </c>
      <c r="D96" s="7">
        <v>56.25</v>
      </c>
      <c r="E96" s="8">
        <v>28.13</v>
      </c>
      <c r="F96" s="12">
        <v>1.8620949074074074E-2</v>
      </c>
      <c r="G96" s="8">
        <v>17</v>
      </c>
    </row>
    <row r="97" spans="1:7" x14ac:dyDescent="0.2">
      <c r="A97" s="9" t="s">
        <v>47</v>
      </c>
      <c r="B97" s="11">
        <v>32.799999999999997</v>
      </c>
      <c r="C97" s="9">
        <v>82.14</v>
      </c>
      <c r="D97" s="10">
        <v>53.57</v>
      </c>
      <c r="E97" s="11">
        <v>28.57</v>
      </c>
      <c r="F97" s="13">
        <v>2.3233564814814815E-2</v>
      </c>
      <c r="G97" s="11">
        <v>32</v>
      </c>
    </row>
    <row r="98" spans="1:7" x14ac:dyDescent="0.2">
      <c r="A98" s="6" t="s">
        <v>37</v>
      </c>
      <c r="B98" s="8">
        <v>26.3</v>
      </c>
      <c r="C98" s="6">
        <v>80.95</v>
      </c>
      <c r="D98" s="7">
        <v>50</v>
      </c>
      <c r="E98" s="8">
        <v>30.95</v>
      </c>
      <c r="F98" s="12">
        <v>2.2764467592592593E-2</v>
      </c>
      <c r="G98" s="8">
        <v>18</v>
      </c>
    </row>
    <row r="99" spans="1:7" x14ac:dyDescent="0.2">
      <c r="A99" s="9" t="s">
        <v>75</v>
      </c>
      <c r="B99" s="11">
        <v>25.7</v>
      </c>
      <c r="C99" s="9">
        <v>88.89</v>
      </c>
      <c r="D99" s="10">
        <v>64.81</v>
      </c>
      <c r="E99" s="11">
        <v>24.07</v>
      </c>
      <c r="F99" s="13">
        <v>1.9927662037037035E-2</v>
      </c>
      <c r="G99" s="11">
        <v>20</v>
      </c>
    </row>
    <row r="100" spans="1:7" x14ac:dyDescent="0.2">
      <c r="A100" s="6" t="s">
        <v>27</v>
      </c>
      <c r="B100" s="8">
        <v>31</v>
      </c>
      <c r="C100" s="6">
        <v>82.98</v>
      </c>
      <c r="D100" s="7">
        <v>48.94</v>
      </c>
      <c r="E100" s="8">
        <v>34.04</v>
      </c>
      <c r="F100" s="12">
        <v>1.9517476851851852E-2</v>
      </c>
      <c r="G100" s="8">
        <v>20</v>
      </c>
    </row>
    <row r="101" spans="1:7" x14ac:dyDescent="0.2">
      <c r="A101" s="9" t="s">
        <v>90</v>
      </c>
      <c r="B101" s="11">
        <v>32.4</v>
      </c>
      <c r="C101" s="9">
        <v>87.5</v>
      </c>
      <c r="D101" s="10">
        <v>68.75</v>
      </c>
      <c r="E101" s="11">
        <v>18.75</v>
      </c>
      <c r="F101" s="13">
        <v>2.3292824074074073E-2</v>
      </c>
      <c r="G101" s="11">
        <v>19</v>
      </c>
    </row>
    <row r="102" spans="1:7" x14ac:dyDescent="0.2">
      <c r="A102" s="6" t="s">
        <v>117</v>
      </c>
      <c r="B102" s="8">
        <v>36.4</v>
      </c>
      <c r="C102" s="6">
        <v>80.95</v>
      </c>
      <c r="D102" s="7">
        <v>50</v>
      </c>
      <c r="E102" s="8">
        <v>30.95</v>
      </c>
      <c r="F102" s="12">
        <v>1.9028703703703704E-2</v>
      </c>
      <c r="G102" s="8">
        <v>26</v>
      </c>
    </row>
    <row r="103" spans="1:7" x14ac:dyDescent="0.2">
      <c r="A103" s="9" t="s">
        <v>61</v>
      </c>
      <c r="B103" s="11">
        <v>31.9</v>
      </c>
      <c r="C103" s="9">
        <v>80</v>
      </c>
      <c r="D103" s="10">
        <v>54.29</v>
      </c>
      <c r="E103" s="11">
        <v>25.71</v>
      </c>
      <c r="F103" s="13">
        <v>1.9629629629629629E-2</v>
      </c>
      <c r="G103" s="11">
        <v>23</v>
      </c>
    </row>
    <row r="104" spans="1:7" x14ac:dyDescent="0.2">
      <c r="A104" s="6" t="s">
        <v>43</v>
      </c>
      <c r="B104" s="8">
        <v>34.799999999999997</v>
      </c>
      <c r="C104" s="6">
        <v>77.78</v>
      </c>
      <c r="D104" s="7">
        <v>60</v>
      </c>
      <c r="E104" s="8">
        <v>17.78</v>
      </c>
      <c r="F104" s="12">
        <v>1.8409953703703703E-2</v>
      </c>
      <c r="G104" s="8">
        <v>21</v>
      </c>
    </row>
    <row r="105" spans="1:7" x14ac:dyDescent="0.2">
      <c r="A105" s="9" t="s">
        <v>121</v>
      </c>
      <c r="B105" s="11">
        <v>18.600000000000001</v>
      </c>
      <c r="C105" s="9">
        <v>85.71</v>
      </c>
      <c r="D105" s="10">
        <v>61.22</v>
      </c>
      <c r="E105" s="11">
        <v>24.49</v>
      </c>
      <c r="F105" s="13">
        <v>1.8594675925925928E-2</v>
      </c>
      <c r="G105" s="11">
        <v>25</v>
      </c>
    </row>
    <row r="106" spans="1:7" x14ac:dyDescent="0.2">
      <c r="A106" s="6" t="s">
        <v>28</v>
      </c>
      <c r="B106" s="8">
        <v>43.7</v>
      </c>
      <c r="C106" s="6">
        <v>75.680000000000007</v>
      </c>
      <c r="D106" s="7">
        <v>48.65</v>
      </c>
      <c r="E106" s="8">
        <v>27.03</v>
      </c>
      <c r="F106" s="12">
        <v>2.1433217592592591E-2</v>
      </c>
      <c r="G106" s="8">
        <v>17</v>
      </c>
    </row>
    <row r="107" spans="1:7" x14ac:dyDescent="0.2">
      <c r="A107" s="9" t="s">
        <v>14</v>
      </c>
      <c r="B107" s="11">
        <v>38</v>
      </c>
      <c r="C107" s="9">
        <v>67.86</v>
      </c>
      <c r="D107" s="10">
        <v>53.57</v>
      </c>
      <c r="E107" s="11">
        <v>14.29</v>
      </c>
      <c r="F107" s="13">
        <v>2.0957986111111115E-2</v>
      </c>
      <c r="G107" s="11">
        <v>14</v>
      </c>
    </row>
    <row r="108" spans="1:7" x14ac:dyDescent="0.2">
      <c r="A108" s="6" t="s">
        <v>53</v>
      </c>
      <c r="B108" s="8">
        <v>33.700000000000003</v>
      </c>
      <c r="C108" s="6">
        <v>86.89</v>
      </c>
      <c r="D108" s="7">
        <v>52.46</v>
      </c>
      <c r="E108" s="8">
        <v>34.43</v>
      </c>
      <c r="F108" s="12">
        <v>2.1487731481481479E-2</v>
      </c>
      <c r="G108" s="8">
        <v>20</v>
      </c>
    </row>
    <row r="109" spans="1:7" x14ac:dyDescent="0.2">
      <c r="A109" s="9" t="s">
        <v>74</v>
      </c>
      <c r="B109" s="11">
        <v>24.1</v>
      </c>
      <c r="C109" s="9">
        <v>78.72</v>
      </c>
      <c r="D109" s="10">
        <v>59.57</v>
      </c>
      <c r="E109" s="11">
        <v>19.149999999999999</v>
      </c>
      <c r="F109" s="13">
        <v>2.2494212962962962E-2</v>
      </c>
      <c r="G109" s="11">
        <v>18</v>
      </c>
    </row>
    <row r="110" spans="1:7" x14ac:dyDescent="0.2">
      <c r="A110" s="6" t="s">
        <v>59</v>
      </c>
      <c r="B110" s="8">
        <v>42.5</v>
      </c>
      <c r="C110" s="6">
        <v>86.11</v>
      </c>
      <c r="D110" s="7">
        <v>63.89</v>
      </c>
      <c r="E110" s="8">
        <v>25</v>
      </c>
      <c r="F110" s="12">
        <v>2.0624074074074076E-2</v>
      </c>
      <c r="G110" s="8">
        <v>21</v>
      </c>
    </row>
    <row r="111" spans="1:7" x14ac:dyDescent="0.2">
      <c r="A111" s="9" t="s">
        <v>0</v>
      </c>
      <c r="B111" s="11">
        <v>28.8</v>
      </c>
      <c r="C111" s="9">
        <v>88.37</v>
      </c>
      <c r="D111" s="10">
        <v>74.42</v>
      </c>
      <c r="E111" s="11">
        <v>13.95</v>
      </c>
      <c r="F111" s="13">
        <v>1.9060763888888891E-2</v>
      </c>
      <c r="G111" s="11">
        <v>25</v>
      </c>
    </row>
    <row r="112" spans="1:7" x14ac:dyDescent="0.2">
      <c r="A112" s="6" t="s">
        <v>31</v>
      </c>
      <c r="B112" s="8">
        <v>24.9</v>
      </c>
      <c r="C112" s="6">
        <v>91.11</v>
      </c>
      <c r="D112" s="7">
        <v>75.56</v>
      </c>
      <c r="E112" s="8">
        <v>15.56</v>
      </c>
      <c r="F112" s="12">
        <v>1.8570601851851852E-2</v>
      </c>
      <c r="G112" s="8">
        <v>25</v>
      </c>
    </row>
    <row r="113" spans="1:7" x14ac:dyDescent="0.2">
      <c r="A113" s="9" t="s">
        <v>62</v>
      </c>
      <c r="B113" s="11">
        <v>31.6</v>
      </c>
      <c r="C113" s="9">
        <v>86.44</v>
      </c>
      <c r="D113" s="10">
        <v>74.58</v>
      </c>
      <c r="E113" s="11">
        <v>11.86</v>
      </c>
      <c r="F113" s="13">
        <v>1.9750231481481483E-2</v>
      </c>
      <c r="G113" s="11">
        <v>13</v>
      </c>
    </row>
    <row r="114" spans="1:7" x14ac:dyDescent="0.2">
      <c r="A114" s="6" t="s">
        <v>26</v>
      </c>
      <c r="B114" s="8">
        <v>34.4</v>
      </c>
      <c r="C114" s="6">
        <v>86.79</v>
      </c>
      <c r="D114" s="7">
        <v>64.150000000000006</v>
      </c>
      <c r="E114" s="8">
        <v>22.64</v>
      </c>
      <c r="F114" s="12">
        <v>2.2155439814814815E-2</v>
      </c>
      <c r="G114" s="8">
        <v>20</v>
      </c>
    </row>
    <row r="115" spans="1:7" x14ac:dyDescent="0.2">
      <c r="A115" s="9" t="s">
        <v>57</v>
      </c>
      <c r="B115" s="11">
        <v>29.8</v>
      </c>
      <c r="C115" s="9">
        <v>86</v>
      </c>
      <c r="D115" s="10">
        <v>54</v>
      </c>
      <c r="E115" s="11">
        <v>32</v>
      </c>
      <c r="F115" s="13">
        <v>2.3475810185185183E-2</v>
      </c>
      <c r="G115" s="11">
        <v>25</v>
      </c>
    </row>
    <row r="116" spans="1:7" x14ac:dyDescent="0.2">
      <c r="A116" s="6" t="s">
        <v>44</v>
      </c>
      <c r="B116" s="8">
        <v>23.9</v>
      </c>
      <c r="C116" s="6">
        <v>76.36</v>
      </c>
      <c r="D116" s="7">
        <v>60</v>
      </c>
      <c r="E116" s="8">
        <v>16.36</v>
      </c>
      <c r="F116" s="12">
        <v>1.8576388888888889E-2</v>
      </c>
      <c r="G116" s="8">
        <v>15</v>
      </c>
    </row>
    <row r="117" spans="1:7" x14ac:dyDescent="0.2">
      <c r="A117" s="9" t="s">
        <v>128</v>
      </c>
      <c r="B117" s="11">
        <v>26.3</v>
      </c>
      <c r="C117" s="9">
        <v>86.21</v>
      </c>
      <c r="D117" s="10">
        <v>53.45</v>
      </c>
      <c r="E117" s="11">
        <v>32.76</v>
      </c>
      <c r="F117" s="13">
        <v>2.0956828703703703E-2</v>
      </c>
      <c r="G117" s="11">
        <v>16</v>
      </c>
    </row>
    <row r="118" spans="1:7" x14ac:dyDescent="0.2">
      <c r="A118" s="6" t="s">
        <v>102</v>
      </c>
      <c r="B118" s="8">
        <v>29.2</v>
      </c>
      <c r="C118" s="6">
        <v>91.43</v>
      </c>
      <c r="D118" s="7">
        <v>54.29</v>
      </c>
      <c r="E118" s="8">
        <v>37.14</v>
      </c>
      <c r="F118" s="12">
        <v>2.1836689814814816E-2</v>
      </c>
      <c r="G118" s="8">
        <v>15</v>
      </c>
    </row>
    <row r="119" spans="1:7" x14ac:dyDescent="0.2">
      <c r="A119" s="9" t="s">
        <v>92</v>
      </c>
      <c r="B119" s="11">
        <v>23</v>
      </c>
      <c r="C119" s="9">
        <v>75</v>
      </c>
      <c r="D119" s="10">
        <v>65</v>
      </c>
      <c r="E119" s="11">
        <v>10</v>
      </c>
      <c r="F119" s="13">
        <v>2.2086921296296299E-2</v>
      </c>
      <c r="G119" s="11">
        <v>15</v>
      </c>
    </row>
    <row r="120" spans="1:7" x14ac:dyDescent="0.2">
      <c r="A120" s="6" t="s">
        <v>100</v>
      </c>
      <c r="B120" s="8">
        <v>22.5</v>
      </c>
      <c r="C120" s="6">
        <v>82.35</v>
      </c>
      <c r="D120" s="7">
        <v>41.18</v>
      </c>
      <c r="E120" s="8">
        <v>41.18</v>
      </c>
      <c r="F120" s="12">
        <v>2.0143750000000002E-2</v>
      </c>
      <c r="G120" s="8">
        <v>26</v>
      </c>
    </row>
    <row r="121" spans="1:7" x14ac:dyDescent="0.2">
      <c r="A121" s="9" t="s">
        <v>64</v>
      </c>
      <c r="B121" s="11">
        <v>35</v>
      </c>
      <c r="C121" s="9">
        <v>83.78</v>
      </c>
      <c r="D121" s="10">
        <v>81.08</v>
      </c>
      <c r="E121" s="11">
        <v>2.7</v>
      </c>
      <c r="F121" s="13">
        <v>2.1705555555555558E-2</v>
      </c>
      <c r="G121" s="11">
        <v>26</v>
      </c>
    </row>
    <row r="122" spans="1:7" x14ac:dyDescent="0.2">
      <c r="A122" s="6" t="s">
        <v>32</v>
      </c>
      <c r="B122" s="8">
        <v>20.399999999999999</v>
      </c>
      <c r="C122" s="6">
        <v>78.790000000000006</v>
      </c>
      <c r="D122" s="7">
        <v>54.55</v>
      </c>
      <c r="E122" s="8">
        <v>24.24</v>
      </c>
      <c r="F122" s="12">
        <v>2.140138888888889E-2</v>
      </c>
      <c r="G122" s="8">
        <v>19</v>
      </c>
    </row>
    <row r="123" spans="1:7" x14ac:dyDescent="0.2">
      <c r="A123" s="9" t="s">
        <v>17</v>
      </c>
      <c r="B123" s="11">
        <v>41.8</v>
      </c>
      <c r="C123" s="9">
        <v>78.849999999999994</v>
      </c>
      <c r="D123" s="10">
        <v>50</v>
      </c>
      <c r="E123" s="11">
        <v>28.85</v>
      </c>
      <c r="F123" s="13">
        <v>2.1564120370370369E-2</v>
      </c>
      <c r="G123" s="11">
        <v>15</v>
      </c>
    </row>
    <row r="124" spans="1:7" x14ac:dyDescent="0.2">
      <c r="A124" s="6" t="s">
        <v>41</v>
      </c>
      <c r="B124" s="8">
        <v>38.200000000000003</v>
      </c>
      <c r="C124" s="6">
        <v>94</v>
      </c>
      <c r="D124" s="7">
        <v>62</v>
      </c>
      <c r="E124" s="8">
        <v>32</v>
      </c>
      <c r="F124" s="12">
        <v>2.2520486111111109E-2</v>
      </c>
      <c r="G124" s="8">
        <v>17</v>
      </c>
    </row>
    <row r="125" spans="1:7" x14ac:dyDescent="0.2">
      <c r="A125" s="9" t="s">
        <v>20</v>
      </c>
      <c r="B125" s="11">
        <v>31.2</v>
      </c>
      <c r="C125" s="9">
        <v>82.76</v>
      </c>
      <c r="D125" s="10">
        <v>65.52</v>
      </c>
      <c r="E125" s="11">
        <v>17.239999999999998</v>
      </c>
      <c r="F125" s="13">
        <v>2.0224305555555554E-2</v>
      </c>
      <c r="G125" s="11">
        <v>21</v>
      </c>
    </row>
    <row r="126" spans="1:7" x14ac:dyDescent="0.2">
      <c r="A126" s="6" t="s">
        <v>80</v>
      </c>
      <c r="B126" s="8">
        <v>45.5</v>
      </c>
      <c r="C126" s="6">
        <v>86.54</v>
      </c>
      <c r="D126" s="7">
        <v>59.62</v>
      </c>
      <c r="E126" s="8">
        <v>26.92</v>
      </c>
      <c r="F126" s="12">
        <v>2.002650462962963E-2</v>
      </c>
      <c r="G126" s="8">
        <v>19</v>
      </c>
    </row>
    <row r="127" spans="1:7" x14ac:dyDescent="0.2">
      <c r="A127" s="9" t="s">
        <v>29</v>
      </c>
      <c r="B127" s="11">
        <v>41.6</v>
      </c>
      <c r="C127" s="9">
        <v>86</v>
      </c>
      <c r="D127" s="10">
        <v>70</v>
      </c>
      <c r="E127" s="11">
        <v>16</v>
      </c>
      <c r="F127" s="13">
        <v>2.3640856481481481E-2</v>
      </c>
      <c r="G127" s="11">
        <v>8</v>
      </c>
    </row>
    <row r="128" spans="1:7" x14ac:dyDescent="0.2">
      <c r="A128" s="6" t="s">
        <v>25</v>
      </c>
      <c r="B128" s="8">
        <v>28.4</v>
      </c>
      <c r="C128" s="6">
        <v>73.47</v>
      </c>
      <c r="D128" s="7">
        <v>59.18</v>
      </c>
      <c r="E128" s="8">
        <v>12.24</v>
      </c>
      <c r="F128" s="12">
        <v>2.4284837962962963E-2</v>
      </c>
      <c r="G128" s="8">
        <v>16</v>
      </c>
    </row>
    <row r="129" spans="1:7" x14ac:dyDescent="0.2">
      <c r="A129" s="2" t="s">
        <v>106</v>
      </c>
      <c r="B129" s="3">
        <v>35.9</v>
      </c>
      <c r="C129" s="9">
        <v>84.31</v>
      </c>
      <c r="D129" s="10">
        <v>60.78</v>
      </c>
      <c r="E129" s="11">
        <v>23.53</v>
      </c>
      <c r="F129" s="5">
        <v>2.1926273148148146E-2</v>
      </c>
      <c r="G129" s="3">
        <v>24</v>
      </c>
    </row>
    <row r="130" spans="1:7" x14ac:dyDescent="0.2">
      <c r="C130" s="6">
        <v>85.19</v>
      </c>
      <c r="D130" s="7">
        <v>66.67</v>
      </c>
      <c r="E130" s="8">
        <v>18.52</v>
      </c>
    </row>
    <row r="131" spans="1:7" x14ac:dyDescent="0.2">
      <c r="C131" s="2">
        <v>96.67</v>
      </c>
      <c r="D131" s="4">
        <v>66.67</v>
      </c>
      <c r="E131" s="3">
        <v>30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/>
  <dimension ref="A1:Q129"/>
  <sheetViews>
    <sheetView workbookViewId="0">
      <selection activeCell="I1" sqref="I1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7.5" bestFit="1" customWidth="1"/>
    <col min="11" max="11" width="4.5" bestFit="1" customWidth="1"/>
    <col min="12" max="12" width="7.83203125" bestFit="1" customWidth="1"/>
    <col min="13" max="14" width="4.83203125" bestFit="1" customWidth="1"/>
    <col min="15" max="15" width="7.1640625" bestFit="1" customWidth="1"/>
    <col min="16" max="16" width="14" bestFit="1" customWidth="1"/>
    <col min="18" max="18" width="5.5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33.799999999999997</v>
      </c>
      <c r="C2" s="7">
        <v>83.64</v>
      </c>
      <c r="D2" s="7">
        <v>70.91</v>
      </c>
      <c r="E2" s="8">
        <v>12.73</v>
      </c>
      <c r="F2" s="12">
        <v>2.2461111111111112E-2</v>
      </c>
      <c r="G2" s="7">
        <v>23</v>
      </c>
      <c r="I2">
        <v>1</v>
      </c>
      <c r="J2" t="s">
        <v>11</v>
      </c>
      <c r="K2">
        <f>VLOOKUP($J2,Offense_2015[],2)</f>
        <v>35.1</v>
      </c>
      <c r="L2">
        <f>VLOOKUP($J2,Offense_2015[],3)</f>
        <v>82.26</v>
      </c>
      <c r="M2">
        <f>VLOOKUP($J2,Offense_2015[],4)</f>
        <v>56.45</v>
      </c>
      <c r="N2">
        <f>VLOOKUP($J2,Offense_2015[],5)</f>
        <v>25.81</v>
      </c>
      <c r="O2" s="1">
        <f>VLOOKUP($J2,Offense_2015[],6)</f>
        <v>2.3325578703703706E-2</v>
      </c>
      <c r="P2">
        <f>VLOOKUP($J2,Offense_2015[],7)</f>
        <v>17</v>
      </c>
      <c r="Q2">
        <v>2015</v>
      </c>
    </row>
    <row r="3" spans="1:17" x14ac:dyDescent="0.2">
      <c r="A3" s="10" t="s">
        <v>103</v>
      </c>
      <c r="B3" s="11">
        <v>23.9</v>
      </c>
      <c r="C3" s="10">
        <v>76.599999999999994</v>
      </c>
      <c r="D3" s="10">
        <v>51.06</v>
      </c>
      <c r="E3" s="11">
        <v>25.53</v>
      </c>
      <c r="F3" s="13">
        <v>2.2792013888888893E-2</v>
      </c>
      <c r="G3" s="10">
        <v>18</v>
      </c>
      <c r="I3">
        <v>2</v>
      </c>
      <c r="J3" t="s">
        <v>24</v>
      </c>
      <c r="K3">
        <f>VLOOKUP($J3,Offense_2015[],2)</f>
        <v>38.5</v>
      </c>
      <c r="L3">
        <f>VLOOKUP($J3,Offense_2015[],3)</f>
        <v>90</v>
      </c>
      <c r="M3">
        <f>VLOOKUP($J3,Offense_2015[],4)</f>
        <v>60</v>
      </c>
      <c r="N3">
        <f>VLOOKUP($J3,Offense_2015[],5)</f>
        <v>30</v>
      </c>
      <c r="O3" s="1">
        <f>VLOOKUP($J3,Offense_2015[],6)</f>
        <v>2.2178240740740738E-2</v>
      </c>
      <c r="P3">
        <f>VLOOKUP($J3,Offense_2015[],7)</f>
        <v>27</v>
      </c>
      <c r="Q3">
        <v>2015</v>
      </c>
    </row>
    <row r="4" spans="1:17" x14ac:dyDescent="0.2">
      <c r="A4" s="7" t="s">
        <v>11</v>
      </c>
      <c r="B4" s="8">
        <v>35.1</v>
      </c>
      <c r="C4" s="7">
        <v>82.26</v>
      </c>
      <c r="D4" s="7">
        <v>56.45</v>
      </c>
      <c r="E4" s="8">
        <v>25.81</v>
      </c>
      <c r="F4" s="12">
        <v>2.3325578703703706E-2</v>
      </c>
      <c r="G4" s="7">
        <v>17</v>
      </c>
      <c r="I4">
        <v>3</v>
      </c>
      <c r="J4" t="s">
        <v>37</v>
      </c>
      <c r="K4">
        <f>VLOOKUP($J4,Offense_2015[],2)</f>
        <v>37.799999999999997</v>
      </c>
      <c r="L4">
        <f>VLOOKUP($J4,Offense_2015[],3)</f>
        <v>87.1</v>
      </c>
      <c r="M4">
        <f>VLOOKUP($J4,Offense_2015[],4)</f>
        <v>66.13</v>
      </c>
      <c r="N4">
        <f>VLOOKUP($J4,Offense_2015[],5)</f>
        <v>20.97</v>
      </c>
      <c r="O4" s="1">
        <f>VLOOKUP($J4,Offense_2015[],6)</f>
        <v>2.4165856481481483E-2</v>
      </c>
      <c r="P4">
        <f>VLOOKUP($J4,Offense_2015[],7)</f>
        <v>13</v>
      </c>
      <c r="Q4">
        <v>2015</v>
      </c>
    </row>
    <row r="5" spans="1:17" x14ac:dyDescent="0.2">
      <c r="A5" s="10" t="s">
        <v>45</v>
      </c>
      <c r="B5" s="11">
        <v>36.700000000000003</v>
      </c>
      <c r="C5" s="10">
        <v>88</v>
      </c>
      <c r="D5" s="10">
        <v>72</v>
      </c>
      <c r="E5" s="11">
        <v>16</v>
      </c>
      <c r="F5" s="13">
        <v>2.1799305555555554E-2</v>
      </c>
      <c r="G5" s="10">
        <v>22</v>
      </c>
      <c r="I5">
        <v>4</v>
      </c>
      <c r="J5" t="s">
        <v>4</v>
      </c>
      <c r="K5">
        <f>VLOOKUP($J5,Offense_2015[],2)</f>
        <v>35.700000000000003</v>
      </c>
      <c r="L5">
        <f>VLOOKUP($J5,Offense_2015[],3)</f>
        <v>82.46</v>
      </c>
      <c r="M5">
        <f>VLOOKUP($J5,Offense_2015[],4)</f>
        <v>64.91</v>
      </c>
      <c r="N5">
        <f>VLOOKUP($J5,Offense_2015[],5)</f>
        <v>17.54</v>
      </c>
      <c r="O5" s="1">
        <f>VLOOKUP($J5,Offense_2015[],6)</f>
        <v>2.0323148148148149E-2</v>
      </c>
      <c r="P5">
        <f>VLOOKUP($J5,Offense_2015[],7)</f>
        <v>18</v>
      </c>
      <c r="Q5">
        <v>2015</v>
      </c>
    </row>
    <row r="6" spans="1:17" x14ac:dyDescent="0.2">
      <c r="A6" s="7" t="s">
        <v>5</v>
      </c>
      <c r="B6" s="8">
        <v>37.4</v>
      </c>
      <c r="C6" s="7">
        <v>83.08</v>
      </c>
      <c r="D6" s="7">
        <v>63.08</v>
      </c>
      <c r="E6" s="8">
        <v>20</v>
      </c>
      <c r="F6" s="12">
        <v>1.8270138888888888E-2</v>
      </c>
      <c r="G6" s="7">
        <v>20</v>
      </c>
      <c r="I6">
        <v>5</v>
      </c>
      <c r="J6" t="s">
        <v>3</v>
      </c>
      <c r="K6">
        <f>VLOOKUP($J6,Offense_2015[],2)</f>
        <v>43.5</v>
      </c>
      <c r="L6">
        <f>VLOOKUP($J6,Offense_2015[],3)</f>
        <v>88.41</v>
      </c>
      <c r="M6">
        <f>VLOOKUP($J6,Offense_2015[],4)</f>
        <v>66.67</v>
      </c>
      <c r="N6">
        <f>VLOOKUP($J6,Offense_2015[],5)</f>
        <v>21.74</v>
      </c>
      <c r="O6" s="1">
        <f>VLOOKUP($J6,Offense_2015[],6)</f>
        <v>2.1315046296296297E-2</v>
      </c>
      <c r="P6">
        <f>VLOOKUP($J6,Offense_2015[],7)</f>
        <v>18</v>
      </c>
      <c r="Q6">
        <v>2015</v>
      </c>
    </row>
    <row r="7" spans="1:17" x14ac:dyDescent="0.2">
      <c r="A7" s="10" t="s">
        <v>38</v>
      </c>
      <c r="B7" s="11">
        <v>34.6</v>
      </c>
      <c r="C7" s="10">
        <v>87.5</v>
      </c>
      <c r="D7" s="10">
        <v>51.56</v>
      </c>
      <c r="E7" s="11">
        <v>35.94</v>
      </c>
      <c r="F7" s="13">
        <v>2.1871412037037036E-2</v>
      </c>
      <c r="G7" s="10">
        <v>19</v>
      </c>
      <c r="I7">
        <v>6</v>
      </c>
      <c r="J7" t="s">
        <v>104</v>
      </c>
      <c r="K7">
        <f>VLOOKUP($J7,Offense_2015[],2)</f>
        <v>29.8</v>
      </c>
      <c r="L7">
        <f>VLOOKUP($J7,Offense_2015[],3)</f>
        <v>84.31</v>
      </c>
      <c r="M7">
        <f>VLOOKUP($J7,Offense_2015[],4)</f>
        <v>68.63</v>
      </c>
      <c r="N7">
        <f>VLOOKUP($J7,Offense_2015[],5)</f>
        <v>15.69</v>
      </c>
      <c r="O7" s="1">
        <f>VLOOKUP($J7,Offense_2015[],6)</f>
        <v>2.281990740740741E-2</v>
      </c>
      <c r="P7">
        <f>VLOOKUP($J7,Offense_2015[],7)</f>
        <v>14</v>
      </c>
      <c r="Q7">
        <v>2015</v>
      </c>
    </row>
    <row r="8" spans="1:17" x14ac:dyDescent="0.2">
      <c r="A8" s="7" t="s">
        <v>63</v>
      </c>
      <c r="B8" s="8">
        <v>35.9</v>
      </c>
      <c r="C8" s="7">
        <v>83.05</v>
      </c>
      <c r="D8" s="7">
        <v>69.489999999999995</v>
      </c>
      <c r="E8" s="8">
        <v>13.56</v>
      </c>
      <c r="F8" s="12">
        <v>2.3881712962962959E-2</v>
      </c>
      <c r="G8" s="7">
        <v>11</v>
      </c>
      <c r="I8">
        <v>7</v>
      </c>
      <c r="J8" t="s">
        <v>27</v>
      </c>
      <c r="K8">
        <f>VLOOKUP($J8,Offense_2015[],2)</f>
        <v>42.1</v>
      </c>
      <c r="L8">
        <f>VLOOKUP($J8,Offense_2015[],3)</f>
        <v>80.3</v>
      </c>
      <c r="M8">
        <f>VLOOKUP($J8,Offense_2015[],4)</f>
        <v>65.150000000000006</v>
      </c>
      <c r="N8">
        <f>VLOOKUP($J8,Offense_2015[],5)</f>
        <v>15.15</v>
      </c>
      <c r="O8" s="1">
        <f>VLOOKUP($J8,Offense_2015[],6)</f>
        <v>2.1780671296296295E-2</v>
      </c>
      <c r="P8">
        <f>VLOOKUP($J8,Offense_2015[],7)</f>
        <v>19</v>
      </c>
      <c r="Q8">
        <v>2015</v>
      </c>
    </row>
    <row r="9" spans="1:17" x14ac:dyDescent="0.2">
      <c r="A9" s="10" t="s">
        <v>8</v>
      </c>
      <c r="B9" s="11">
        <v>40</v>
      </c>
      <c r="C9" s="10">
        <v>81.03</v>
      </c>
      <c r="D9" s="10">
        <v>60.34</v>
      </c>
      <c r="E9" s="11">
        <v>20.69</v>
      </c>
      <c r="F9" s="13">
        <v>2.1143171296296295E-2</v>
      </c>
      <c r="G9" s="10">
        <v>26</v>
      </c>
      <c r="I9">
        <v>8</v>
      </c>
      <c r="J9" t="s">
        <v>67</v>
      </c>
      <c r="K9">
        <f>VLOOKUP($J9,Offense_2015[],2)</f>
        <v>40.4</v>
      </c>
      <c r="L9">
        <f>VLOOKUP($J9,Offense_2015[],3)</f>
        <v>88.06</v>
      </c>
      <c r="M9">
        <f>VLOOKUP($J9,Offense_2015[],4)</f>
        <v>73.13</v>
      </c>
      <c r="N9">
        <f>VLOOKUP($J9,Offense_2015[],5)</f>
        <v>14.93</v>
      </c>
      <c r="O9" s="1">
        <f>VLOOKUP($J9,Offense_2015[],6)</f>
        <v>2.175428240740741E-2</v>
      </c>
      <c r="P9">
        <f>VLOOKUP($J9,Offense_2015[],7)</f>
        <v>14</v>
      </c>
      <c r="Q9">
        <v>2015</v>
      </c>
    </row>
    <row r="10" spans="1:17" x14ac:dyDescent="0.2">
      <c r="A10" s="7" t="s">
        <v>42</v>
      </c>
      <c r="B10" s="8">
        <v>22.1</v>
      </c>
      <c r="C10" s="7">
        <v>77.42</v>
      </c>
      <c r="D10" s="7">
        <v>64.52</v>
      </c>
      <c r="E10" s="8">
        <v>12.9</v>
      </c>
      <c r="F10" s="12">
        <v>2.2399652777777775E-2</v>
      </c>
      <c r="G10" s="7">
        <v>22</v>
      </c>
      <c r="I10">
        <v>9</v>
      </c>
      <c r="J10" t="s">
        <v>68</v>
      </c>
      <c r="K10">
        <f>VLOOKUP($J10,Offense_2015[],2)</f>
        <v>30.9</v>
      </c>
      <c r="L10">
        <f>VLOOKUP($J10,Offense_2015[],3)</f>
        <v>85.19</v>
      </c>
      <c r="M10">
        <f>VLOOKUP($J10,Offense_2015[],4)</f>
        <v>64.81</v>
      </c>
      <c r="N10">
        <f>VLOOKUP($J10,Offense_2015[],5)</f>
        <v>20.37</v>
      </c>
      <c r="O10" s="1">
        <f>VLOOKUP($J10,Offense_2015[],6)</f>
        <v>2.1966782407407407E-2</v>
      </c>
      <c r="P10">
        <f>VLOOKUP($J10,Offense_2015[],7)</f>
        <v>16</v>
      </c>
      <c r="Q10">
        <v>2015</v>
      </c>
    </row>
    <row r="11" spans="1:17" x14ac:dyDescent="0.2">
      <c r="A11" s="10" t="s">
        <v>19</v>
      </c>
      <c r="B11" s="11">
        <v>27.5</v>
      </c>
      <c r="C11" s="10">
        <v>90.2</v>
      </c>
      <c r="D11" s="10">
        <v>62.75</v>
      </c>
      <c r="E11" s="11">
        <v>27.45</v>
      </c>
      <c r="F11" s="13">
        <v>1.969641203703704E-2</v>
      </c>
      <c r="G11" s="10">
        <v>17</v>
      </c>
      <c r="I11">
        <v>10</v>
      </c>
      <c r="J11" t="s">
        <v>34</v>
      </c>
      <c r="K11">
        <f>VLOOKUP($J11,Offense_2015[],2)</f>
        <v>40.799999999999997</v>
      </c>
      <c r="L11">
        <f>VLOOKUP($J11,Offense_2015[],3)</f>
        <v>83.87</v>
      </c>
      <c r="M11">
        <f>VLOOKUP($J11,Offense_2015[],4)</f>
        <v>59.68</v>
      </c>
      <c r="N11">
        <f>VLOOKUP($J11,Offense_2015[],5)</f>
        <v>24.19</v>
      </c>
      <c r="O11" s="1">
        <f>VLOOKUP($J11,Offense_2015[],6)</f>
        <v>1.8421527777777776E-2</v>
      </c>
      <c r="P11">
        <f>VLOOKUP($J11,Offense_2015[],7)</f>
        <v>23</v>
      </c>
      <c r="Q11">
        <v>2015</v>
      </c>
    </row>
    <row r="12" spans="1:17" x14ac:dyDescent="0.2">
      <c r="A12" s="7" t="s">
        <v>120</v>
      </c>
      <c r="B12" s="8">
        <v>23.1</v>
      </c>
      <c r="C12" s="7">
        <v>80</v>
      </c>
      <c r="D12" s="7">
        <v>46.67</v>
      </c>
      <c r="E12" s="8">
        <v>33.33</v>
      </c>
      <c r="F12" s="12">
        <v>1.9870717592592593E-2</v>
      </c>
      <c r="G12" s="7">
        <v>15</v>
      </c>
      <c r="I12">
        <v>11</v>
      </c>
      <c r="J12" t="s">
        <v>23</v>
      </c>
      <c r="K12">
        <f>VLOOKUP($J12,Offense_2015[],2)</f>
        <v>34.200000000000003</v>
      </c>
      <c r="L12">
        <f>VLOOKUP($J12,Offense_2015[],3)</f>
        <v>81.13</v>
      </c>
      <c r="M12">
        <f>VLOOKUP($J12,Offense_2015[],4)</f>
        <v>58.49</v>
      </c>
      <c r="N12">
        <f>VLOOKUP($J12,Offense_2015[],5)</f>
        <v>22.64</v>
      </c>
      <c r="O12" s="1">
        <f>VLOOKUP($J12,Offense_2015[],6)</f>
        <v>2.0586689814814815E-2</v>
      </c>
      <c r="P12">
        <f>VLOOKUP($J12,Offense_2015[],7)</f>
        <v>20</v>
      </c>
      <c r="Q12">
        <v>2015</v>
      </c>
    </row>
    <row r="13" spans="1:17" x14ac:dyDescent="0.2">
      <c r="A13" s="10" t="s">
        <v>94</v>
      </c>
      <c r="B13" s="11">
        <v>48.1</v>
      </c>
      <c r="C13" s="10">
        <v>87.14</v>
      </c>
      <c r="D13" s="10">
        <v>75.709999999999994</v>
      </c>
      <c r="E13" s="11">
        <v>11.43</v>
      </c>
      <c r="F13" s="13">
        <v>1.9349189814814816E-2</v>
      </c>
      <c r="G13" s="10">
        <v>26</v>
      </c>
      <c r="I13">
        <v>12</v>
      </c>
      <c r="J13" t="s">
        <v>84</v>
      </c>
      <c r="K13">
        <f>VLOOKUP($J13,Offense_2015[],2)</f>
        <v>31.4</v>
      </c>
      <c r="L13">
        <f>VLOOKUP($J13,Offense_2015[],3)</f>
        <v>92.86</v>
      </c>
      <c r="M13">
        <f>VLOOKUP($J13,Offense_2015[],4)</f>
        <v>66.069999999999993</v>
      </c>
      <c r="N13">
        <f>VLOOKUP($J13,Offense_2015[],5)</f>
        <v>26.79</v>
      </c>
      <c r="O13" s="1">
        <f>VLOOKUP($J13,Offense_2015[],6)</f>
        <v>2.3238078703703705E-2</v>
      </c>
      <c r="P13">
        <f>VLOOKUP($J13,Offense_2015[],7)</f>
        <v>16</v>
      </c>
      <c r="Q13">
        <v>2015</v>
      </c>
    </row>
    <row r="14" spans="1:17" x14ac:dyDescent="0.2">
      <c r="A14" s="7" t="s">
        <v>33</v>
      </c>
      <c r="B14" s="8">
        <v>39.1</v>
      </c>
      <c r="C14" s="7">
        <v>83.58</v>
      </c>
      <c r="D14" s="7">
        <v>58.21</v>
      </c>
      <c r="E14" s="8">
        <v>25.37</v>
      </c>
      <c r="F14" s="12">
        <v>2.2100231481481481E-2</v>
      </c>
      <c r="G14" s="7">
        <v>22</v>
      </c>
      <c r="I14">
        <v>13</v>
      </c>
      <c r="J14" t="s">
        <v>94</v>
      </c>
      <c r="K14">
        <f>VLOOKUP($J14,Offense_2015[],2)</f>
        <v>48.1</v>
      </c>
      <c r="L14">
        <f>VLOOKUP($J14,Offense_2015[],3)</f>
        <v>87.14</v>
      </c>
      <c r="M14">
        <f>VLOOKUP($J14,Offense_2015[],4)</f>
        <v>75.709999999999994</v>
      </c>
      <c r="N14">
        <f>VLOOKUP($J14,Offense_2015[],5)</f>
        <v>11.43</v>
      </c>
      <c r="O14" s="1">
        <f>VLOOKUP($J14,Offense_2015[],6)</f>
        <v>1.9349189814814816E-2</v>
      </c>
      <c r="P14">
        <f>VLOOKUP($J14,Offense_2015[],7)</f>
        <v>26</v>
      </c>
      <c r="Q14">
        <v>2015</v>
      </c>
    </row>
    <row r="15" spans="1:17" x14ac:dyDescent="0.2">
      <c r="A15" s="10" t="s">
        <v>79</v>
      </c>
      <c r="B15" s="11">
        <v>17.2</v>
      </c>
      <c r="C15" s="10">
        <v>77.78</v>
      </c>
      <c r="D15" s="10">
        <v>62.96</v>
      </c>
      <c r="E15" s="11">
        <v>14.81</v>
      </c>
      <c r="F15" s="13">
        <v>2.0773495370370369E-2</v>
      </c>
      <c r="G15" s="10">
        <v>20</v>
      </c>
      <c r="I15">
        <v>14</v>
      </c>
      <c r="J15" t="s">
        <v>88</v>
      </c>
      <c r="K15">
        <f>VLOOKUP($J15,Offense_2015[],2)</f>
        <v>31.7</v>
      </c>
      <c r="L15">
        <f>VLOOKUP($J15,Offense_2015[],3)</f>
        <v>89.13</v>
      </c>
      <c r="M15">
        <f>VLOOKUP($J15,Offense_2015[],4)</f>
        <v>56.52</v>
      </c>
      <c r="N15">
        <f>VLOOKUP($J15,Offense_2015[],5)</f>
        <v>32.61</v>
      </c>
      <c r="O15" s="1">
        <f>VLOOKUP($J15,Offense_2015[],6)</f>
        <v>2.0431828703703702E-2</v>
      </c>
      <c r="P15">
        <f>VLOOKUP($J15,Offense_2015[],7)</f>
        <v>15</v>
      </c>
      <c r="Q15">
        <v>2015</v>
      </c>
    </row>
    <row r="16" spans="1:17" x14ac:dyDescent="0.2">
      <c r="A16" s="7" t="s">
        <v>87</v>
      </c>
      <c r="B16" s="8">
        <v>42.2</v>
      </c>
      <c r="C16" s="7">
        <v>83.1</v>
      </c>
      <c r="D16" s="7">
        <v>73.239999999999995</v>
      </c>
      <c r="E16" s="8">
        <v>9.86</v>
      </c>
      <c r="F16" s="12">
        <v>1.9391550925925927E-2</v>
      </c>
      <c r="G16" s="7">
        <v>15</v>
      </c>
      <c r="I16">
        <v>15</v>
      </c>
      <c r="J16" t="s">
        <v>82</v>
      </c>
      <c r="K16">
        <f>VLOOKUP($J16,Offense_2015[],2)</f>
        <v>40.700000000000003</v>
      </c>
      <c r="L16">
        <f>VLOOKUP($J16,Offense_2015[],3)</f>
        <v>88.89</v>
      </c>
      <c r="M16">
        <f>VLOOKUP($J16,Offense_2015[],4)</f>
        <v>66.67</v>
      </c>
      <c r="N16">
        <f>VLOOKUP($J16,Offense_2015[],5)</f>
        <v>22.22</v>
      </c>
      <c r="O16" s="1">
        <f>VLOOKUP($J16,Offense_2015[],6)</f>
        <v>1.7550462962962962E-2</v>
      </c>
      <c r="P16">
        <f>VLOOKUP($J16,Offense_2015[],7)</f>
        <v>19</v>
      </c>
      <c r="Q16">
        <v>2015</v>
      </c>
    </row>
    <row r="17" spans="1:17" x14ac:dyDescent="0.2">
      <c r="A17" s="10" t="s">
        <v>66</v>
      </c>
      <c r="B17" s="11">
        <v>26.7</v>
      </c>
      <c r="C17" s="10">
        <v>83.72</v>
      </c>
      <c r="D17" s="10">
        <v>58.14</v>
      </c>
      <c r="E17" s="11">
        <v>25.58</v>
      </c>
      <c r="F17" s="13">
        <v>2.1580787037037041E-2</v>
      </c>
      <c r="G17" s="10">
        <v>20</v>
      </c>
      <c r="I17">
        <v>16</v>
      </c>
      <c r="J17" t="s">
        <v>138</v>
      </c>
      <c r="K17">
        <f>VLOOKUP($J17,Offense_2015[],2)</f>
        <v>24.7</v>
      </c>
      <c r="L17">
        <f>VLOOKUP($J17,Offense_2015[],3)</f>
        <v>83.72</v>
      </c>
      <c r="M17">
        <f>VLOOKUP($J17,Offense_2015[],4)</f>
        <v>55.81</v>
      </c>
      <c r="N17">
        <f>VLOOKUP($J17,Offense_2015[],5)</f>
        <v>27.91</v>
      </c>
      <c r="O17" s="1">
        <f>VLOOKUP($J17,Offense_2015[],6)</f>
        <v>2.0332754629629628E-2</v>
      </c>
      <c r="P17">
        <f>VLOOKUP($J17,Offense_2015[],7)</f>
        <v>22</v>
      </c>
      <c r="Q17">
        <v>2015</v>
      </c>
    </row>
    <row r="18" spans="1:17" x14ac:dyDescent="0.2">
      <c r="A18" s="7" t="s">
        <v>122</v>
      </c>
      <c r="B18" s="8">
        <v>33.700000000000003</v>
      </c>
      <c r="C18" s="7">
        <v>94.34</v>
      </c>
      <c r="D18" s="7">
        <v>73.58</v>
      </c>
      <c r="E18" s="8">
        <v>20.75</v>
      </c>
      <c r="F18" s="12">
        <v>1.9992824074074073E-2</v>
      </c>
      <c r="G18" s="7">
        <v>20</v>
      </c>
      <c r="I18">
        <v>17</v>
      </c>
      <c r="J18" t="s">
        <v>57</v>
      </c>
      <c r="K18">
        <f>VLOOKUP($J18,Offense_2015[],2)</f>
        <v>30.6</v>
      </c>
      <c r="L18">
        <f>VLOOKUP($J18,Offense_2015[],3)</f>
        <v>91.3</v>
      </c>
      <c r="M18">
        <f>VLOOKUP($J18,Offense_2015[],4)</f>
        <v>60.87</v>
      </c>
      <c r="N18">
        <f>VLOOKUP($J18,Offense_2015[],5)</f>
        <v>30.43</v>
      </c>
      <c r="O18" s="1">
        <f>VLOOKUP($J18,Offense_2015[],6)</f>
        <v>2.2723495370370373E-2</v>
      </c>
      <c r="P18">
        <f>VLOOKUP($J18,Offense_2015[],7)</f>
        <v>21</v>
      </c>
      <c r="Q18">
        <v>2015</v>
      </c>
    </row>
    <row r="19" spans="1:17" x14ac:dyDescent="0.2">
      <c r="A19" s="10" t="s">
        <v>72</v>
      </c>
      <c r="B19" s="11">
        <v>37.9</v>
      </c>
      <c r="C19" s="10">
        <v>88.24</v>
      </c>
      <c r="D19" s="10">
        <v>64.709999999999994</v>
      </c>
      <c r="E19" s="11">
        <v>23.53</v>
      </c>
      <c r="F19" s="13">
        <v>2.0186921296296297E-2</v>
      </c>
      <c r="G19" s="10">
        <v>23</v>
      </c>
      <c r="I19">
        <v>18</v>
      </c>
      <c r="J19" t="s">
        <v>49</v>
      </c>
      <c r="K19">
        <f>VLOOKUP($J19,Offense_2015[],2)</f>
        <v>36.799999999999997</v>
      </c>
      <c r="L19">
        <f>VLOOKUP($J19,Offense_2015[],3)</f>
        <v>94.83</v>
      </c>
      <c r="M19">
        <f>VLOOKUP($J19,Offense_2015[],4)</f>
        <v>75.86</v>
      </c>
      <c r="N19">
        <f>VLOOKUP($J19,Offense_2015[],5)</f>
        <v>18.97</v>
      </c>
      <c r="O19" s="1">
        <f>VLOOKUP($J19,Offense_2015[],6)</f>
        <v>2.2882870370370369E-2</v>
      </c>
      <c r="P19">
        <f>VLOOKUP($J19,Offense_2015[],7)</f>
        <v>8</v>
      </c>
      <c r="Q19">
        <v>2015</v>
      </c>
    </row>
    <row r="20" spans="1:17" x14ac:dyDescent="0.2">
      <c r="A20" s="7" t="s">
        <v>54</v>
      </c>
      <c r="B20" s="8">
        <v>25.8</v>
      </c>
      <c r="C20" s="7">
        <v>88.68</v>
      </c>
      <c r="D20" s="7">
        <v>66.040000000000006</v>
      </c>
      <c r="E20" s="8">
        <v>22.64</v>
      </c>
      <c r="F20" s="12">
        <v>2.2880208333333332E-2</v>
      </c>
      <c r="G20" s="7">
        <v>16</v>
      </c>
      <c r="I20">
        <v>19</v>
      </c>
      <c r="J20" t="s">
        <v>18</v>
      </c>
      <c r="K20">
        <f>VLOOKUP($J20,Offense_2015[],2)</f>
        <v>43</v>
      </c>
      <c r="L20">
        <f>VLOOKUP($J20,Offense_2015[],3)</f>
        <v>85.71</v>
      </c>
      <c r="M20">
        <f>VLOOKUP($J20,Offense_2015[],4)</f>
        <v>64.290000000000006</v>
      </c>
      <c r="N20">
        <f>VLOOKUP($J20,Offense_2015[],5)</f>
        <v>21.43</v>
      </c>
      <c r="O20" s="1">
        <f>VLOOKUP($J20,Offense_2015[],6)</f>
        <v>1.8928009259259259E-2</v>
      </c>
      <c r="P20">
        <f>VLOOKUP($J20,Offense_2015[],7)</f>
        <v>17</v>
      </c>
      <c r="Q20">
        <v>2015</v>
      </c>
    </row>
    <row r="21" spans="1:17" x14ac:dyDescent="0.2">
      <c r="A21" s="10" t="s">
        <v>126</v>
      </c>
      <c r="B21" s="11">
        <v>17.5</v>
      </c>
      <c r="C21" s="10">
        <v>67.569999999999993</v>
      </c>
      <c r="D21" s="10">
        <v>37.840000000000003</v>
      </c>
      <c r="E21" s="11">
        <v>29.73</v>
      </c>
      <c r="F21" s="13">
        <v>1.9686574074074075E-2</v>
      </c>
      <c r="G21" s="10">
        <v>35</v>
      </c>
      <c r="I21">
        <v>20</v>
      </c>
      <c r="J21" t="s">
        <v>2</v>
      </c>
      <c r="K21">
        <f>VLOOKUP($J21,Offense_2015[],2)</f>
        <v>39.5</v>
      </c>
      <c r="L21">
        <f>VLOOKUP($J21,Offense_2015[],3)</f>
        <v>91.67</v>
      </c>
      <c r="M21">
        <f>VLOOKUP($J21,Offense_2015[],4)</f>
        <v>66.67</v>
      </c>
      <c r="N21">
        <f>VLOOKUP($J21,Offense_2015[],5)</f>
        <v>25</v>
      </c>
      <c r="O21" s="1">
        <f>VLOOKUP($J21,Offense_2015[],6)</f>
        <v>2.0470138888888888E-2</v>
      </c>
      <c r="P21">
        <f>VLOOKUP($J21,Offense_2015[],7)</f>
        <v>15</v>
      </c>
      <c r="Q21">
        <v>2015</v>
      </c>
    </row>
    <row r="22" spans="1:17" x14ac:dyDescent="0.2">
      <c r="A22" s="7" t="s">
        <v>110</v>
      </c>
      <c r="B22" s="8">
        <v>33.799999999999997</v>
      </c>
      <c r="C22" s="7">
        <v>81.540000000000006</v>
      </c>
      <c r="D22" s="7">
        <v>60</v>
      </c>
      <c r="E22" s="8">
        <v>21.54</v>
      </c>
      <c r="F22" s="12">
        <v>2.144236111111111E-2</v>
      </c>
      <c r="G22" s="7">
        <v>33</v>
      </c>
      <c r="I22">
        <v>21</v>
      </c>
      <c r="J22" t="s">
        <v>25</v>
      </c>
      <c r="K22">
        <f>VLOOKUP($J22,Offense_2015[],2)</f>
        <v>26.8</v>
      </c>
      <c r="L22">
        <f>VLOOKUP($J22,Offense_2015[],3)</f>
        <v>85.19</v>
      </c>
      <c r="M22">
        <f>VLOOKUP($J22,Offense_2015[],4)</f>
        <v>64.81</v>
      </c>
      <c r="N22">
        <f>VLOOKUP($J22,Offense_2015[],5)</f>
        <v>20.37</v>
      </c>
      <c r="O22" s="1">
        <f>VLOOKUP($J22,Offense_2015[],6)</f>
        <v>2.3513194444444444E-2</v>
      </c>
      <c r="P22">
        <f>VLOOKUP($J22,Offense_2015[],7)</f>
        <v>18</v>
      </c>
      <c r="Q22">
        <v>2015</v>
      </c>
    </row>
    <row r="23" spans="1:17" x14ac:dyDescent="0.2">
      <c r="A23" s="10" t="s">
        <v>24</v>
      </c>
      <c r="B23" s="11">
        <v>38.5</v>
      </c>
      <c r="C23" s="10">
        <v>90</v>
      </c>
      <c r="D23" s="10">
        <v>60</v>
      </c>
      <c r="E23" s="11">
        <v>30</v>
      </c>
      <c r="F23" s="13">
        <v>2.2178240740740738E-2</v>
      </c>
      <c r="G23" s="10">
        <v>27</v>
      </c>
      <c r="I23">
        <v>22</v>
      </c>
      <c r="J23" t="s">
        <v>117</v>
      </c>
      <c r="K23">
        <f>VLOOKUP($J23,Offense_2015[],2)</f>
        <v>35.200000000000003</v>
      </c>
      <c r="L23">
        <f>VLOOKUP($J23,Offense_2015[],3)</f>
        <v>83.33</v>
      </c>
      <c r="M23">
        <f>VLOOKUP($J23,Offense_2015[],4)</f>
        <v>59.09</v>
      </c>
      <c r="N23">
        <f>VLOOKUP($J23,Offense_2015[],5)</f>
        <v>24.24</v>
      </c>
      <c r="O23" s="1">
        <f>VLOOKUP($J23,Offense_2015[],6)</f>
        <v>2.1207291666666666E-2</v>
      </c>
      <c r="P23">
        <f>VLOOKUP($J23,Offense_2015[],7)</f>
        <v>12</v>
      </c>
      <c r="Q23">
        <v>2015</v>
      </c>
    </row>
    <row r="24" spans="1:17" x14ac:dyDescent="0.2">
      <c r="A24" s="7" t="s">
        <v>77</v>
      </c>
      <c r="B24" s="8">
        <v>24.6</v>
      </c>
      <c r="C24" s="7">
        <v>70.37</v>
      </c>
      <c r="D24" s="7">
        <v>48.15</v>
      </c>
      <c r="E24" s="8">
        <v>22.22</v>
      </c>
      <c r="F24" s="12">
        <v>2.156076388888889E-2</v>
      </c>
      <c r="G24" s="7">
        <v>21</v>
      </c>
      <c r="I24">
        <v>23</v>
      </c>
      <c r="J24" t="s">
        <v>55</v>
      </c>
      <c r="K24">
        <f>VLOOKUP($J24,Offense_2015[],2)</f>
        <v>19.5</v>
      </c>
      <c r="L24">
        <f>VLOOKUP($J24,Offense_2015[],3)</f>
        <v>82.5</v>
      </c>
      <c r="M24">
        <f>VLOOKUP($J24,Offense_2015[],4)</f>
        <v>40</v>
      </c>
      <c r="N24">
        <f>VLOOKUP($J24,Offense_2015[],5)</f>
        <v>42.5</v>
      </c>
      <c r="O24" s="1">
        <f>VLOOKUP($J24,Offense_2015[],6)</f>
        <v>2.0695370370370367E-2</v>
      </c>
      <c r="P24">
        <f>VLOOKUP($J24,Offense_2015[],7)</f>
        <v>20</v>
      </c>
      <c r="Q24">
        <v>2015</v>
      </c>
    </row>
    <row r="25" spans="1:17" x14ac:dyDescent="0.2">
      <c r="A25" s="10" t="s">
        <v>30</v>
      </c>
      <c r="B25" s="11">
        <v>29.6</v>
      </c>
      <c r="C25" s="10">
        <v>87.04</v>
      </c>
      <c r="D25" s="10">
        <v>61.11</v>
      </c>
      <c r="E25" s="11">
        <v>25.93</v>
      </c>
      <c r="F25" s="13">
        <v>2.1026504629629631E-2</v>
      </c>
      <c r="G25" s="10">
        <v>27</v>
      </c>
      <c r="I25">
        <v>24</v>
      </c>
      <c r="J25" t="s">
        <v>80</v>
      </c>
      <c r="K25">
        <f>VLOOKUP($J25,Offense_2015[],2)</f>
        <v>44.3</v>
      </c>
      <c r="L25">
        <f>VLOOKUP($J25,Offense_2015[],3)</f>
        <v>87.67</v>
      </c>
      <c r="M25">
        <f>VLOOKUP($J25,Offense_2015[],4)</f>
        <v>72.599999999999994</v>
      </c>
      <c r="N25">
        <f>VLOOKUP($J25,Offense_2015[],5)</f>
        <v>15.07</v>
      </c>
      <c r="O25" s="1">
        <f>VLOOKUP($J25,Offense_2015[],6)</f>
        <v>2.0964814814814815E-2</v>
      </c>
      <c r="P25">
        <f>VLOOKUP($J25,Offense_2015[],7)</f>
        <v>17</v>
      </c>
      <c r="Q25">
        <v>2015</v>
      </c>
    </row>
    <row r="26" spans="1:17" x14ac:dyDescent="0.2">
      <c r="A26" s="7" t="s">
        <v>101</v>
      </c>
      <c r="B26" s="8">
        <v>17.2</v>
      </c>
      <c r="C26" s="7">
        <v>78.790000000000006</v>
      </c>
      <c r="D26" s="7">
        <v>48.48</v>
      </c>
      <c r="E26" s="8">
        <v>30.3</v>
      </c>
      <c r="F26" s="12">
        <v>2.1406712962962964E-2</v>
      </c>
      <c r="G26" s="7">
        <v>16</v>
      </c>
      <c r="I26">
        <v>25</v>
      </c>
      <c r="J26" t="s">
        <v>108</v>
      </c>
      <c r="K26">
        <f>VLOOKUP($J26,Offense_2015[],2)</f>
        <v>23.2</v>
      </c>
      <c r="L26">
        <f>VLOOKUP($J26,Offense_2015[],3)</f>
        <v>66.67</v>
      </c>
      <c r="M26">
        <f>VLOOKUP($J26,Offense_2015[],4)</f>
        <v>56.86</v>
      </c>
      <c r="N26">
        <f>VLOOKUP($J26,Offense_2015[],5)</f>
        <v>9.8000000000000007</v>
      </c>
      <c r="O26" s="1">
        <f>VLOOKUP($J26,Offense_2015[],6)</f>
        <v>2.150960648148148E-2</v>
      </c>
      <c r="P26">
        <f>VLOOKUP($J26,Offense_2015[],7)</f>
        <v>17</v>
      </c>
      <c r="Q26">
        <v>2015</v>
      </c>
    </row>
    <row r="27" spans="1:17" x14ac:dyDescent="0.2">
      <c r="A27" s="10" t="s">
        <v>85</v>
      </c>
      <c r="B27" s="11">
        <v>31.5</v>
      </c>
      <c r="C27" s="10">
        <v>83.93</v>
      </c>
      <c r="D27" s="10">
        <v>51.79</v>
      </c>
      <c r="E27" s="11">
        <v>32.14</v>
      </c>
      <c r="F27" s="13">
        <v>1.9913657407407408E-2</v>
      </c>
      <c r="G27" s="10">
        <v>21</v>
      </c>
    </row>
    <row r="28" spans="1:17" x14ac:dyDescent="0.2">
      <c r="A28" s="7" t="s">
        <v>89</v>
      </c>
      <c r="B28" s="8">
        <v>27.4</v>
      </c>
      <c r="C28" s="7">
        <v>88.64</v>
      </c>
      <c r="D28" s="7">
        <v>68.180000000000007</v>
      </c>
      <c r="E28" s="8">
        <v>20.45</v>
      </c>
      <c r="F28" s="12">
        <v>1.9521643518518518E-2</v>
      </c>
      <c r="G28" s="7">
        <v>19</v>
      </c>
    </row>
    <row r="29" spans="1:17" x14ac:dyDescent="0.2">
      <c r="A29" s="10" t="s">
        <v>81</v>
      </c>
      <c r="B29" s="11">
        <v>25.4</v>
      </c>
      <c r="C29" s="10">
        <v>83.33</v>
      </c>
      <c r="D29" s="10">
        <v>75</v>
      </c>
      <c r="E29" s="11">
        <v>8.33</v>
      </c>
      <c r="F29" s="13">
        <v>1.8797222222222222E-2</v>
      </c>
      <c r="G29" s="10">
        <v>25</v>
      </c>
    </row>
    <row r="30" spans="1:17" x14ac:dyDescent="0.2">
      <c r="A30" s="7" t="s">
        <v>108</v>
      </c>
      <c r="B30" s="8">
        <v>23.2</v>
      </c>
      <c r="C30" s="7">
        <v>66.67</v>
      </c>
      <c r="D30" s="7">
        <v>56.86</v>
      </c>
      <c r="E30" s="8">
        <v>9.8000000000000007</v>
      </c>
      <c r="F30" s="12">
        <v>2.150960648148148E-2</v>
      </c>
      <c r="G30" s="7">
        <v>17</v>
      </c>
    </row>
    <row r="31" spans="1:17" x14ac:dyDescent="0.2">
      <c r="A31" s="10" t="s">
        <v>9</v>
      </c>
      <c r="B31" s="11">
        <v>22.5</v>
      </c>
      <c r="C31" s="10">
        <v>72.55</v>
      </c>
      <c r="D31" s="10">
        <v>43.14</v>
      </c>
      <c r="E31" s="11">
        <v>29.41</v>
      </c>
      <c r="F31" s="13">
        <v>2.0088773148148147E-2</v>
      </c>
      <c r="G31" s="10">
        <v>25</v>
      </c>
    </row>
    <row r="32" spans="1:17" x14ac:dyDescent="0.2">
      <c r="A32" s="7" t="s">
        <v>95</v>
      </c>
      <c r="B32" s="8">
        <v>25.5</v>
      </c>
      <c r="C32" s="7">
        <v>87.18</v>
      </c>
      <c r="D32" s="7">
        <v>66.67</v>
      </c>
      <c r="E32" s="8">
        <v>20.51</v>
      </c>
      <c r="F32" s="12">
        <v>2.0978935185185187E-2</v>
      </c>
      <c r="G32" s="7">
        <v>15</v>
      </c>
    </row>
    <row r="33" spans="1:7" x14ac:dyDescent="0.2">
      <c r="A33" s="10" t="s">
        <v>88</v>
      </c>
      <c r="B33" s="11">
        <v>31.7</v>
      </c>
      <c r="C33" s="10">
        <v>89.13</v>
      </c>
      <c r="D33" s="10">
        <v>56.52</v>
      </c>
      <c r="E33" s="11">
        <v>32.61</v>
      </c>
      <c r="F33" s="13">
        <v>2.0431828703703702E-2</v>
      </c>
      <c r="G33" s="10">
        <v>15</v>
      </c>
    </row>
    <row r="34" spans="1:7" x14ac:dyDescent="0.2">
      <c r="A34" s="7" t="s">
        <v>73</v>
      </c>
      <c r="B34" s="8">
        <v>22.3</v>
      </c>
      <c r="C34" s="7">
        <v>69.7</v>
      </c>
      <c r="D34" s="7">
        <v>54.55</v>
      </c>
      <c r="E34" s="8">
        <v>15.15</v>
      </c>
      <c r="F34" s="12">
        <v>1.8892708333333334E-2</v>
      </c>
      <c r="G34" s="7">
        <v>22</v>
      </c>
    </row>
    <row r="35" spans="1:7" x14ac:dyDescent="0.2">
      <c r="A35" s="10" t="s">
        <v>22</v>
      </c>
      <c r="B35" s="11">
        <v>26.3</v>
      </c>
      <c r="C35" s="10">
        <v>78.569999999999993</v>
      </c>
      <c r="D35" s="10">
        <v>42.86</v>
      </c>
      <c r="E35" s="11">
        <v>35.71</v>
      </c>
      <c r="F35" s="13">
        <v>2.0236805555555553E-2</v>
      </c>
      <c r="G35" s="10">
        <v>18</v>
      </c>
    </row>
    <row r="36" spans="1:7" x14ac:dyDescent="0.2">
      <c r="A36" s="7" t="s">
        <v>109</v>
      </c>
      <c r="B36" s="8">
        <v>36.5</v>
      </c>
      <c r="C36" s="7">
        <v>87.5</v>
      </c>
      <c r="D36" s="7">
        <v>66.069999999999993</v>
      </c>
      <c r="E36" s="8">
        <v>21.43</v>
      </c>
      <c r="F36" s="12">
        <v>2.3606712962962965E-2</v>
      </c>
      <c r="G36" s="7">
        <v>21</v>
      </c>
    </row>
    <row r="37" spans="1:7" x14ac:dyDescent="0.2">
      <c r="A37" s="10" t="s">
        <v>114</v>
      </c>
      <c r="B37" s="11">
        <v>26.9</v>
      </c>
      <c r="C37" s="10">
        <v>80</v>
      </c>
      <c r="D37" s="10">
        <v>64.44</v>
      </c>
      <c r="E37" s="11">
        <v>15.56</v>
      </c>
      <c r="F37" s="13">
        <v>2.0167361111111112E-2</v>
      </c>
      <c r="G37" s="10">
        <v>23</v>
      </c>
    </row>
    <row r="38" spans="1:7" x14ac:dyDescent="0.2">
      <c r="A38" s="7" t="s">
        <v>71</v>
      </c>
      <c r="B38" s="8">
        <v>29.3</v>
      </c>
      <c r="C38" s="7">
        <v>83.78</v>
      </c>
      <c r="D38" s="7">
        <v>75.680000000000007</v>
      </c>
      <c r="E38" s="8">
        <v>8.11</v>
      </c>
      <c r="F38" s="12">
        <v>2.1621296296296295E-2</v>
      </c>
      <c r="G38" s="7">
        <v>24</v>
      </c>
    </row>
    <row r="39" spans="1:7" x14ac:dyDescent="0.2">
      <c r="A39" s="10" t="s">
        <v>105</v>
      </c>
      <c r="B39" s="11">
        <v>17.600000000000001</v>
      </c>
      <c r="C39" s="10">
        <v>77.42</v>
      </c>
      <c r="D39" s="10">
        <v>64.52</v>
      </c>
      <c r="E39" s="11">
        <v>12.9</v>
      </c>
      <c r="F39" s="13">
        <v>1.6322106481481479E-2</v>
      </c>
      <c r="G39" s="10">
        <v>34</v>
      </c>
    </row>
    <row r="40" spans="1:7" x14ac:dyDescent="0.2">
      <c r="A40" s="7" t="s">
        <v>67</v>
      </c>
      <c r="B40" s="8">
        <v>40.4</v>
      </c>
      <c r="C40" s="7">
        <v>88.06</v>
      </c>
      <c r="D40" s="7">
        <v>73.13</v>
      </c>
      <c r="E40" s="8">
        <v>14.93</v>
      </c>
      <c r="F40" s="12">
        <v>2.175428240740741E-2</v>
      </c>
      <c r="G40" s="7">
        <v>14</v>
      </c>
    </row>
    <row r="41" spans="1:7" x14ac:dyDescent="0.2">
      <c r="A41" s="10" t="s">
        <v>115</v>
      </c>
      <c r="B41" s="11">
        <v>30.3</v>
      </c>
      <c r="C41" s="10">
        <v>90</v>
      </c>
      <c r="D41" s="10">
        <v>62</v>
      </c>
      <c r="E41" s="11">
        <v>28</v>
      </c>
      <c r="F41" s="13">
        <v>2.2027430555555557E-2</v>
      </c>
      <c r="G41" s="10">
        <v>23</v>
      </c>
    </row>
    <row r="42" spans="1:7" x14ac:dyDescent="0.2">
      <c r="A42" s="7" t="s">
        <v>125</v>
      </c>
      <c r="B42" s="8">
        <v>22.7</v>
      </c>
      <c r="C42" s="7">
        <v>72.5</v>
      </c>
      <c r="D42" s="7">
        <v>50</v>
      </c>
      <c r="E42" s="8">
        <v>22.5</v>
      </c>
      <c r="F42" s="12">
        <v>2.0622106481481481E-2</v>
      </c>
      <c r="G42" s="7">
        <v>17</v>
      </c>
    </row>
    <row r="43" spans="1:7" x14ac:dyDescent="0.2">
      <c r="A43" s="10" t="s">
        <v>76</v>
      </c>
      <c r="B43" s="11">
        <v>36.5</v>
      </c>
      <c r="C43" s="10">
        <v>88.52</v>
      </c>
      <c r="D43" s="10">
        <v>59.02</v>
      </c>
      <c r="E43" s="11">
        <v>29.51</v>
      </c>
      <c r="F43" s="13">
        <v>2.024837962962963E-2</v>
      </c>
      <c r="G43" s="10">
        <v>14</v>
      </c>
    </row>
    <row r="44" spans="1:7" x14ac:dyDescent="0.2">
      <c r="A44" s="7" t="s">
        <v>68</v>
      </c>
      <c r="B44" s="8">
        <v>30.9</v>
      </c>
      <c r="C44" s="7">
        <v>85.19</v>
      </c>
      <c r="D44" s="7">
        <v>64.81</v>
      </c>
      <c r="E44" s="8">
        <v>20.37</v>
      </c>
      <c r="F44" s="12">
        <v>2.1966782407407407E-2</v>
      </c>
      <c r="G44" s="7">
        <v>16</v>
      </c>
    </row>
    <row r="45" spans="1:7" x14ac:dyDescent="0.2">
      <c r="A45" s="10" t="s">
        <v>52</v>
      </c>
      <c r="B45" s="11">
        <v>25</v>
      </c>
      <c r="C45" s="10">
        <v>77.5</v>
      </c>
      <c r="D45" s="10">
        <v>57.5</v>
      </c>
      <c r="E45" s="11">
        <v>20</v>
      </c>
      <c r="F45" s="13">
        <v>2.1898148148148149E-2</v>
      </c>
      <c r="G45" s="10">
        <v>24</v>
      </c>
    </row>
    <row r="46" spans="1:7" x14ac:dyDescent="0.2">
      <c r="A46" s="7" t="s">
        <v>118</v>
      </c>
      <c r="B46" s="8">
        <v>15.3</v>
      </c>
      <c r="C46" s="7">
        <v>66.67</v>
      </c>
      <c r="D46" s="7">
        <v>53.33</v>
      </c>
      <c r="E46" s="8">
        <v>13.33</v>
      </c>
      <c r="F46" s="12">
        <v>1.9684606481481483E-2</v>
      </c>
      <c r="G46" s="7">
        <v>25</v>
      </c>
    </row>
    <row r="47" spans="1:7" x14ac:dyDescent="0.2">
      <c r="A47" s="10" t="s">
        <v>36</v>
      </c>
      <c r="B47" s="11">
        <v>29.9</v>
      </c>
      <c r="C47" s="10">
        <v>94.55</v>
      </c>
      <c r="D47" s="10">
        <v>63.64</v>
      </c>
      <c r="E47" s="11">
        <v>30.91</v>
      </c>
      <c r="F47" s="13">
        <v>2.2318402777777777E-2</v>
      </c>
      <c r="G47" s="10">
        <v>19</v>
      </c>
    </row>
    <row r="48" spans="1:7" x14ac:dyDescent="0.2">
      <c r="A48" s="7" t="s">
        <v>127</v>
      </c>
      <c r="B48" s="8">
        <v>13.1</v>
      </c>
      <c r="C48" s="7">
        <v>75</v>
      </c>
      <c r="D48" s="7">
        <v>55</v>
      </c>
      <c r="E48" s="8">
        <v>20</v>
      </c>
      <c r="F48" s="12">
        <v>1.9517708333333331E-2</v>
      </c>
      <c r="G48" s="7">
        <v>21</v>
      </c>
    </row>
    <row r="49" spans="1:7" x14ac:dyDescent="0.2">
      <c r="A49" s="10" t="s">
        <v>86</v>
      </c>
      <c r="B49" s="11">
        <v>24.7</v>
      </c>
      <c r="C49" s="10">
        <v>83.72</v>
      </c>
      <c r="D49" s="10">
        <v>55.81</v>
      </c>
      <c r="E49" s="11">
        <v>27.91</v>
      </c>
      <c r="F49" s="13">
        <v>2.0332754629629628E-2</v>
      </c>
      <c r="G49" s="10">
        <v>22</v>
      </c>
    </row>
    <row r="50" spans="1:7" x14ac:dyDescent="0.2">
      <c r="A50" s="7" t="s">
        <v>65</v>
      </c>
      <c r="B50" s="8">
        <v>37.5</v>
      </c>
      <c r="C50" s="7">
        <v>87.5</v>
      </c>
      <c r="D50" s="7">
        <v>62.5</v>
      </c>
      <c r="E50" s="8">
        <v>25</v>
      </c>
      <c r="F50" s="12">
        <v>2.1252662037037035E-2</v>
      </c>
      <c r="G50" s="7">
        <v>21</v>
      </c>
    </row>
    <row r="51" spans="1:7" x14ac:dyDescent="0.2">
      <c r="A51" s="10" t="s">
        <v>58</v>
      </c>
      <c r="B51" s="11">
        <v>26.4</v>
      </c>
      <c r="C51" s="10">
        <v>81.58</v>
      </c>
      <c r="D51" s="10">
        <v>63.16</v>
      </c>
      <c r="E51" s="11">
        <v>18.420000000000002</v>
      </c>
      <c r="F51" s="13">
        <v>2.0917245370370371E-2</v>
      </c>
      <c r="G51" s="10">
        <v>20</v>
      </c>
    </row>
    <row r="52" spans="1:7" x14ac:dyDescent="0.2">
      <c r="A52" s="7" t="s">
        <v>21</v>
      </c>
      <c r="B52" s="8">
        <v>21</v>
      </c>
      <c r="C52" s="7">
        <v>76.67</v>
      </c>
      <c r="D52" s="7">
        <v>50</v>
      </c>
      <c r="E52" s="8">
        <v>26.67</v>
      </c>
      <c r="F52" s="12">
        <v>1.9382175925925924E-2</v>
      </c>
      <c r="G52" s="7">
        <v>30</v>
      </c>
    </row>
    <row r="53" spans="1:7" x14ac:dyDescent="0.2">
      <c r="A53" s="10" t="s">
        <v>12</v>
      </c>
      <c r="B53" s="11">
        <v>28.7</v>
      </c>
      <c r="C53" s="10">
        <v>82.76</v>
      </c>
      <c r="D53" s="10">
        <v>58.62</v>
      </c>
      <c r="E53" s="11">
        <v>24.14</v>
      </c>
      <c r="F53" s="13">
        <v>2.0471875E-2</v>
      </c>
      <c r="G53" s="10">
        <v>27</v>
      </c>
    </row>
    <row r="54" spans="1:7" x14ac:dyDescent="0.2">
      <c r="A54" s="7" t="s">
        <v>70</v>
      </c>
      <c r="B54" s="8">
        <v>32.799999999999997</v>
      </c>
      <c r="C54" s="7">
        <v>84.78</v>
      </c>
      <c r="D54" s="7">
        <v>65.22</v>
      </c>
      <c r="E54" s="8">
        <v>19.57</v>
      </c>
      <c r="F54" s="12">
        <v>2.1760185185185184E-2</v>
      </c>
      <c r="G54" s="7">
        <v>10</v>
      </c>
    </row>
    <row r="55" spans="1:7" x14ac:dyDescent="0.2">
      <c r="A55" s="10" t="s">
        <v>78</v>
      </c>
      <c r="B55" s="11">
        <v>31.3</v>
      </c>
      <c r="C55" s="10">
        <v>80.650000000000006</v>
      </c>
      <c r="D55" s="10">
        <v>54.84</v>
      </c>
      <c r="E55" s="11">
        <v>25.81</v>
      </c>
      <c r="F55" s="13">
        <v>2.0898379629629631E-2</v>
      </c>
      <c r="G55" s="10">
        <v>24</v>
      </c>
    </row>
    <row r="56" spans="1:7" x14ac:dyDescent="0.2">
      <c r="A56" s="7" t="s">
        <v>97</v>
      </c>
      <c r="B56" s="8">
        <v>24.7</v>
      </c>
      <c r="C56" s="7">
        <v>81.25</v>
      </c>
      <c r="D56" s="7">
        <v>53.13</v>
      </c>
      <c r="E56" s="8">
        <v>28.13</v>
      </c>
      <c r="F56" s="12">
        <v>1.917048611111111E-2</v>
      </c>
      <c r="G56" s="7">
        <v>36</v>
      </c>
    </row>
    <row r="57" spans="1:7" x14ac:dyDescent="0.2">
      <c r="A57" s="10" t="s">
        <v>60</v>
      </c>
      <c r="B57" s="11">
        <v>22.2</v>
      </c>
      <c r="C57" s="10">
        <v>69.05</v>
      </c>
      <c r="D57" s="10">
        <v>52.38</v>
      </c>
      <c r="E57" s="11">
        <v>16.670000000000002</v>
      </c>
      <c r="F57" s="13">
        <v>1.8739351851851851E-2</v>
      </c>
      <c r="G57" s="10">
        <v>19</v>
      </c>
    </row>
    <row r="58" spans="1:7" x14ac:dyDescent="0.2">
      <c r="A58" s="7" t="s">
        <v>1</v>
      </c>
      <c r="B58" s="8">
        <v>40.200000000000003</v>
      </c>
      <c r="C58" s="7">
        <v>89.06</v>
      </c>
      <c r="D58" s="7">
        <v>64.06</v>
      </c>
      <c r="E58" s="8">
        <v>25</v>
      </c>
      <c r="F58" s="12">
        <v>2.1076388888888891E-2</v>
      </c>
      <c r="G58" s="7">
        <v>14</v>
      </c>
    </row>
    <row r="59" spans="1:7" x14ac:dyDescent="0.2">
      <c r="A59" s="10" t="s">
        <v>39</v>
      </c>
      <c r="B59" s="11">
        <v>27.8</v>
      </c>
      <c r="C59" s="10">
        <v>81.67</v>
      </c>
      <c r="D59" s="10">
        <v>50</v>
      </c>
      <c r="E59" s="11">
        <v>31.67</v>
      </c>
      <c r="F59" s="13">
        <v>2.0777199074074073E-2</v>
      </c>
      <c r="G59" s="10">
        <v>14</v>
      </c>
    </row>
    <row r="60" spans="1:7" x14ac:dyDescent="0.2">
      <c r="A60" s="7" t="s">
        <v>93</v>
      </c>
      <c r="B60" s="8">
        <v>17.899999999999999</v>
      </c>
      <c r="C60" s="7">
        <v>81.819999999999993</v>
      </c>
      <c r="D60" s="7">
        <v>57.58</v>
      </c>
      <c r="E60" s="8">
        <v>24.24</v>
      </c>
      <c r="F60" s="12">
        <v>1.9941203703703704E-2</v>
      </c>
      <c r="G60" s="7">
        <v>31</v>
      </c>
    </row>
    <row r="61" spans="1:7" x14ac:dyDescent="0.2">
      <c r="A61" s="10" t="s">
        <v>84</v>
      </c>
      <c r="B61" s="11">
        <v>31.4</v>
      </c>
      <c r="C61" s="10">
        <v>92.86</v>
      </c>
      <c r="D61" s="10">
        <v>66.069999999999993</v>
      </c>
      <c r="E61" s="11">
        <v>26.79</v>
      </c>
      <c r="F61" s="13">
        <v>2.3238078703703705E-2</v>
      </c>
      <c r="G61" s="10">
        <v>16</v>
      </c>
    </row>
    <row r="62" spans="1:7" x14ac:dyDescent="0.2">
      <c r="A62" s="7" t="s">
        <v>104</v>
      </c>
      <c r="B62" s="8">
        <v>29.8</v>
      </c>
      <c r="C62" s="7">
        <v>84.31</v>
      </c>
      <c r="D62" s="7">
        <v>68.63</v>
      </c>
      <c r="E62" s="8">
        <v>15.69</v>
      </c>
      <c r="F62" s="12">
        <v>2.281990740740741E-2</v>
      </c>
      <c r="G62" s="7">
        <v>14</v>
      </c>
    </row>
    <row r="63" spans="1:7" x14ac:dyDescent="0.2">
      <c r="A63" s="10" t="s">
        <v>91</v>
      </c>
      <c r="B63" s="11">
        <v>34</v>
      </c>
      <c r="C63" s="10">
        <v>83.64</v>
      </c>
      <c r="D63" s="10">
        <v>67.27</v>
      </c>
      <c r="E63" s="11">
        <v>16.36</v>
      </c>
      <c r="F63" s="13">
        <v>2.0765624999999999E-2</v>
      </c>
      <c r="G63" s="10">
        <v>29</v>
      </c>
    </row>
    <row r="64" spans="1:7" x14ac:dyDescent="0.2">
      <c r="A64" s="7" t="s">
        <v>107</v>
      </c>
      <c r="B64" s="8">
        <v>22.5</v>
      </c>
      <c r="C64" s="7">
        <v>86.11</v>
      </c>
      <c r="D64" s="7">
        <v>52.78</v>
      </c>
      <c r="E64" s="8">
        <v>33.33</v>
      </c>
      <c r="F64" s="12">
        <v>2.013888888888889E-2</v>
      </c>
      <c r="G64" s="7">
        <v>22</v>
      </c>
    </row>
    <row r="65" spans="1:7" x14ac:dyDescent="0.2">
      <c r="A65" s="10" t="s">
        <v>34</v>
      </c>
      <c r="B65" s="11">
        <v>40.799999999999997</v>
      </c>
      <c r="C65" s="10">
        <v>83.87</v>
      </c>
      <c r="D65" s="10">
        <v>59.68</v>
      </c>
      <c r="E65" s="11">
        <v>24.19</v>
      </c>
      <c r="F65" s="13">
        <v>1.8421527777777776E-2</v>
      </c>
      <c r="G65" s="10">
        <v>23</v>
      </c>
    </row>
    <row r="66" spans="1:7" x14ac:dyDescent="0.2">
      <c r="A66" s="7" t="s">
        <v>35</v>
      </c>
      <c r="B66" s="8">
        <v>34.4</v>
      </c>
      <c r="C66" s="7">
        <v>90.57</v>
      </c>
      <c r="D66" s="7">
        <v>71.7</v>
      </c>
      <c r="E66" s="8">
        <v>18.87</v>
      </c>
      <c r="F66" s="12">
        <v>1.825138888888889E-2</v>
      </c>
      <c r="G66" s="7">
        <v>18</v>
      </c>
    </row>
    <row r="67" spans="1:7" x14ac:dyDescent="0.2">
      <c r="A67" s="10" t="s">
        <v>10</v>
      </c>
      <c r="B67" s="11">
        <v>13.6</v>
      </c>
      <c r="C67" s="10">
        <v>77.42</v>
      </c>
      <c r="D67" s="10">
        <v>32.26</v>
      </c>
      <c r="E67" s="11">
        <v>45.16</v>
      </c>
      <c r="F67" s="13">
        <v>1.877314814814815E-2</v>
      </c>
      <c r="G67" s="10">
        <v>17</v>
      </c>
    </row>
    <row r="68" spans="1:7" x14ac:dyDescent="0.2">
      <c r="A68" s="7" t="s">
        <v>49</v>
      </c>
      <c r="B68" s="8">
        <v>36.799999999999997</v>
      </c>
      <c r="C68" s="7">
        <v>94.83</v>
      </c>
      <c r="D68" s="7">
        <v>75.86</v>
      </c>
      <c r="E68" s="8">
        <v>18.97</v>
      </c>
      <c r="F68" s="12">
        <v>2.2882870370370369E-2</v>
      </c>
      <c r="G68" s="7">
        <v>8</v>
      </c>
    </row>
    <row r="69" spans="1:7" x14ac:dyDescent="0.2">
      <c r="A69" s="10" t="s">
        <v>83</v>
      </c>
      <c r="B69" s="11">
        <v>32.799999999999997</v>
      </c>
      <c r="C69" s="10">
        <v>88.89</v>
      </c>
      <c r="D69" s="10">
        <v>70.37</v>
      </c>
      <c r="E69" s="11">
        <v>18.52</v>
      </c>
      <c r="F69" s="13">
        <v>2.2494675925925925E-2</v>
      </c>
      <c r="G69" s="10">
        <v>27</v>
      </c>
    </row>
    <row r="70" spans="1:7" x14ac:dyDescent="0.2">
      <c r="A70" s="7" t="s">
        <v>69</v>
      </c>
      <c r="B70" s="8">
        <v>26.2</v>
      </c>
      <c r="C70" s="7">
        <v>90.91</v>
      </c>
      <c r="D70" s="7">
        <v>61.36</v>
      </c>
      <c r="E70" s="8">
        <v>29.55</v>
      </c>
      <c r="F70" s="12">
        <v>2.0839583333333331E-2</v>
      </c>
      <c r="G70" s="7">
        <v>12</v>
      </c>
    </row>
    <row r="71" spans="1:7" x14ac:dyDescent="0.2">
      <c r="A71" s="10" t="s">
        <v>111</v>
      </c>
      <c r="B71" s="11">
        <v>29.9</v>
      </c>
      <c r="C71" s="10">
        <v>76.739999999999995</v>
      </c>
      <c r="D71" s="10">
        <v>60.47</v>
      </c>
      <c r="E71" s="11">
        <v>16.28</v>
      </c>
      <c r="F71" s="13">
        <v>2.1618634259259261E-2</v>
      </c>
      <c r="G71" s="10">
        <v>21</v>
      </c>
    </row>
    <row r="72" spans="1:7" x14ac:dyDescent="0.2">
      <c r="A72" s="7" t="s">
        <v>50</v>
      </c>
      <c r="B72" s="8">
        <v>28.6</v>
      </c>
      <c r="C72" s="7">
        <v>80</v>
      </c>
      <c r="D72" s="7">
        <v>62.5</v>
      </c>
      <c r="E72" s="8">
        <v>17.5</v>
      </c>
      <c r="F72" s="12">
        <v>1.9490740740740743E-2</v>
      </c>
      <c r="G72" s="7">
        <v>21</v>
      </c>
    </row>
    <row r="73" spans="1:7" x14ac:dyDescent="0.2">
      <c r="A73" s="10" t="s">
        <v>82</v>
      </c>
      <c r="B73" s="11">
        <v>40.700000000000003</v>
      </c>
      <c r="C73" s="10">
        <v>88.89</v>
      </c>
      <c r="D73" s="10">
        <v>66.67</v>
      </c>
      <c r="E73" s="11">
        <v>22.22</v>
      </c>
      <c r="F73" s="13">
        <v>1.7550462962962962E-2</v>
      </c>
      <c r="G73" s="10">
        <v>19</v>
      </c>
    </row>
    <row r="74" spans="1:7" x14ac:dyDescent="0.2">
      <c r="A74" s="7" t="s">
        <v>46</v>
      </c>
      <c r="B74" s="8">
        <v>33.200000000000003</v>
      </c>
      <c r="C74" s="7">
        <v>85.19</v>
      </c>
      <c r="D74" s="7">
        <v>72.22</v>
      </c>
      <c r="E74" s="8">
        <v>12.96</v>
      </c>
      <c r="F74" s="12">
        <v>2.2954050925925923E-2</v>
      </c>
      <c r="G74" s="7">
        <v>13</v>
      </c>
    </row>
    <row r="75" spans="1:7" x14ac:dyDescent="0.2">
      <c r="A75" s="10" t="s">
        <v>16</v>
      </c>
      <c r="B75" s="11">
        <v>15.2</v>
      </c>
      <c r="C75" s="10">
        <v>71.430000000000007</v>
      </c>
      <c r="D75" s="10">
        <v>46.43</v>
      </c>
      <c r="E75" s="11">
        <v>25</v>
      </c>
      <c r="F75" s="13">
        <v>1.8475115740740743E-2</v>
      </c>
      <c r="G75" s="10">
        <v>25</v>
      </c>
    </row>
    <row r="76" spans="1:7" x14ac:dyDescent="0.2">
      <c r="A76" s="7" t="s">
        <v>51</v>
      </c>
      <c r="B76" s="8">
        <v>31.1</v>
      </c>
      <c r="C76" s="7">
        <v>87.5</v>
      </c>
      <c r="D76" s="7">
        <v>70.83</v>
      </c>
      <c r="E76" s="8">
        <v>16.670000000000002</v>
      </c>
      <c r="F76" s="12">
        <v>1.8343287037037036E-2</v>
      </c>
      <c r="G76" s="7">
        <v>27</v>
      </c>
    </row>
    <row r="77" spans="1:7" x14ac:dyDescent="0.2">
      <c r="A77" s="10" t="s">
        <v>55</v>
      </c>
      <c r="B77" s="11">
        <v>19.5</v>
      </c>
      <c r="C77" s="10">
        <v>82.5</v>
      </c>
      <c r="D77" s="10">
        <v>40</v>
      </c>
      <c r="E77" s="11">
        <v>42.5</v>
      </c>
      <c r="F77" s="13">
        <v>2.0695370370370367E-2</v>
      </c>
      <c r="G77" s="10">
        <v>20</v>
      </c>
    </row>
    <row r="78" spans="1:7" x14ac:dyDescent="0.2">
      <c r="A78" s="7" t="s">
        <v>23</v>
      </c>
      <c r="B78" s="8">
        <v>34.200000000000003</v>
      </c>
      <c r="C78" s="7">
        <v>81.13</v>
      </c>
      <c r="D78" s="7">
        <v>58.49</v>
      </c>
      <c r="E78" s="8">
        <v>22.64</v>
      </c>
      <c r="F78" s="12">
        <v>2.0586689814814815E-2</v>
      </c>
      <c r="G78" s="7">
        <v>20</v>
      </c>
    </row>
    <row r="79" spans="1:7" x14ac:dyDescent="0.2">
      <c r="A79" s="10" t="s">
        <v>13</v>
      </c>
      <c r="B79" s="11">
        <v>27.5</v>
      </c>
      <c r="C79" s="10">
        <v>76.47</v>
      </c>
      <c r="D79" s="10">
        <v>52.94</v>
      </c>
      <c r="E79" s="11">
        <v>23.53</v>
      </c>
      <c r="F79" s="13">
        <v>2.2412731481481481E-2</v>
      </c>
      <c r="G79" s="10">
        <v>17</v>
      </c>
    </row>
    <row r="80" spans="1:7" x14ac:dyDescent="0.2">
      <c r="A80" s="7" t="s">
        <v>4</v>
      </c>
      <c r="B80" s="8">
        <v>35.700000000000003</v>
      </c>
      <c r="C80" s="7">
        <v>82.46</v>
      </c>
      <c r="D80" s="7">
        <v>64.91</v>
      </c>
      <c r="E80" s="8">
        <v>17.54</v>
      </c>
      <c r="F80" s="12">
        <v>2.0323148148148149E-2</v>
      </c>
      <c r="G80" s="7">
        <v>18</v>
      </c>
    </row>
    <row r="81" spans="1:7" x14ac:dyDescent="0.2">
      <c r="A81" s="10" t="s">
        <v>3</v>
      </c>
      <c r="B81" s="11">
        <v>43.5</v>
      </c>
      <c r="C81" s="10">
        <v>88.41</v>
      </c>
      <c r="D81" s="10">
        <v>66.67</v>
      </c>
      <c r="E81" s="11">
        <v>21.74</v>
      </c>
      <c r="F81" s="13">
        <v>2.1315046296296297E-2</v>
      </c>
      <c r="G81" s="10">
        <v>18</v>
      </c>
    </row>
    <row r="82" spans="1:7" x14ac:dyDescent="0.2">
      <c r="A82" s="7" t="s">
        <v>2</v>
      </c>
      <c r="B82" s="8">
        <v>39.5</v>
      </c>
      <c r="C82" s="7">
        <v>91.67</v>
      </c>
      <c r="D82" s="7">
        <v>66.67</v>
      </c>
      <c r="E82" s="8">
        <v>25</v>
      </c>
      <c r="F82" s="12">
        <v>2.0470138888888888E-2</v>
      </c>
      <c r="G82" s="7">
        <v>15</v>
      </c>
    </row>
    <row r="83" spans="1:7" x14ac:dyDescent="0.2">
      <c r="A83" s="10" t="s">
        <v>113</v>
      </c>
      <c r="B83" s="11">
        <v>24.3</v>
      </c>
      <c r="C83" s="10">
        <v>67.44</v>
      </c>
      <c r="D83" s="10">
        <v>48.84</v>
      </c>
      <c r="E83" s="11">
        <v>18.600000000000001</v>
      </c>
      <c r="F83" s="13">
        <v>1.9322916666666665E-2</v>
      </c>
      <c r="G83" s="10">
        <v>19</v>
      </c>
    </row>
    <row r="84" spans="1:7" x14ac:dyDescent="0.2">
      <c r="A84" s="7" t="s">
        <v>18</v>
      </c>
      <c r="B84" s="8">
        <v>43</v>
      </c>
      <c r="C84" s="7">
        <v>85.71</v>
      </c>
      <c r="D84" s="7">
        <v>64.290000000000006</v>
      </c>
      <c r="E84" s="8">
        <v>21.43</v>
      </c>
      <c r="F84" s="12">
        <v>1.8928009259259259E-2</v>
      </c>
      <c r="G84" s="7">
        <v>17</v>
      </c>
    </row>
    <row r="85" spans="1:7" x14ac:dyDescent="0.2">
      <c r="A85" s="10" t="s">
        <v>112</v>
      </c>
      <c r="B85" s="11">
        <v>19</v>
      </c>
      <c r="C85" s="10">
        <v>83.87</v>
      </c>
      <c r="D85" s="10">
        <v>61.29</v>
      </c>
      <c r="E85" s="11">
        <v>22.58</v>
      </c>
      <c r="F85" s="13">
        <v>1.8199305555555555E-2</v>
      </c>
      <c r="G85" s="10">
        <v>16</v>
      </c>
    </row>
    <row r="86" spans="1:7" x14ac:dyDescent="0.2">
      <c r="A86" s="7" t="s">
        <v>6</v>
      </c>
      <c r="B86" s="8">
        <v>23.2</v>
      </c>
      <c r="C86" s="7">
        <v>93.18</v>
      </c>
      <c r="D86" s="7">
        <v>54.55</v>
      </c>
      <c r="E86" s="8">
        <v>38.64</v>
      </c>
      <c r="F86" s="12">
        <v>2.0485185185185186E-2</v>
      </c>
      <c r="G86" s="7">
        <v>18</v>
      </c>
    </row>
    <row r="87" spans="1:7" x14ac:dyDescent="0.2">
      <c r="A87" s="10" t="s">
        <v>99</v>
      </c>
      <c r="B87" s="11">
        <v>28.2</v>
      </c>
      <c r="C87" s="10">
        <v>83.33</v>
      </c>
      <c r="D87" s="10">
        <v>62.5</v>
      </c>
      <c r="E87" s="11">
        <v>20.83</v>
      </c>
      <c r="F87" s="13">
        <v>2.2021064814814816E-2</v>
      </c>
      <c r="G87" s="10">
        <v>16</v>
      </c>
    </row>
    <row r="88" spans="1:7" x14ac:dyDescent="0.2">
      <c r="A88" s="7" t="s">
        <v>96</v>
      </c>
      <c r="B88" s="8">
        <v>25.1</v>
      </c>
      <c r="C88" s="7">
        <v>86.84</v>
      </c>
      <c r="D88" s="7">
        <v>73.680000000000007</v>
      </c>
      <c r="E88" s="8">
        <v>13.16</v>
      </c>
      <c r="F88" s="12">
        <v>1.9355671296296294E-2</v>
      </c>
      <c r="G88" s="7">
        <v>26</v>
      </c>
    </row>
    <row r="89" spans="1:7" x14ac:dyDescent="0.2">
      <c r="A89" s="10" t="s">
        <v>123</v>
      </c>
      <c r="B89" s="11">
        <v>26.1</v>
      </c>
      <c r="C89" s="10">
        <v>79.55</v>
      </c>
      <c r="D89" s="10">
        <v>61.36</v>
      </c>
      <c r="E89" s="11">
        <v>18.18</v>
      </c>
      <c r="F89" s="13">
        <v>2.3362268518518515E-2</v>
      </c>
      <c r="G89" s="10">
        <v>22</v>
      </c>
    </row>
    <row r="90" spans="1:7" x14ac:dyDescent="0.2">
      <c r="A90" s="7" t="s">
        <v>119</v>
      </c>
      <c r="B90" s="8">
        <v>27.1</v>
      </c>
      <c r="C90" s="7">
        <v>85</v>
      </c>
      <c r="D90" s="7">
        <v>62.5</v>
      </c>
      <c r="E90" s="8">
        <v>22.5</v>
      </c>
      <c r="F90" s="12">
        <v>2.1621296296296295E-2</v>
      </c>
      <c r="G90" s="7">
        <v>18</v>
      </c>
    </row>
    <row r="91" spans="1:7" x14ac:dyDescent="0.2">
      <c r="A91" s="10" t="s">
        <v>48</v>
      </c>
      <c r="B91" s="11">
        <v>32.1</v>
      </c>
      <c r="C91" s="10">
        <v>94.12</v>
      </c>
      <c r="D91" s="10">
        <v>68.63</v>
      </c>
      <c r="E91" s="11">
        <v>25.49</v>
      </c>
      <c r="F91" s="13">
        <v>2.2725694444444444E-2</v>
      </c>
      <c r="G91" s="10">
        <v>12</v>
      </c>
    </row>
    <row r="92" spans="1:7" x14ac:dyDescent="0.2">
      <c r="A92" s="7" t="s">
        <v>124</v>
      </c>
      <c r="B92" s="8">
        <v>27.9</v>
      </c>
      <c r="C92" s="7">
        <v>89.13</v>
      </c>
      <c r="D92" s="7">
        <v>69.569999999999993</v>
      </c>
      <c r="E92" s="8">
        <v>19.57</v>
      </c>
      <c r="F92" s="12">
        <v>2.3003009259259258E-2</v>
      </c>
      <c r="G92" s="7">
        <v>17</v>
      </c>
    </row>
    <row r="93" spans="1:7" x14ac:dyDescent="0.2">
      <c r="A93" s="10" t="s">
        <v>7</v>
      </c>
      <c r="B93" s="11">
        <v>27.8</v>
      </c>
      <c r="C93" s="10">
        <v>84.09</v>
      </c>
      <c r="D93" s="10">
        <v>68.180000000000007</v>
      </c>
      <c r="E93" s="11">
        <v>15.91</v>
      </c>
      <c r="F93" s="13">
        <v>2.1667592592592596E-2</v>
      </c>
      <c r="G93" s="10">
        <v>25</v>
      </c>
    </row>
    <row r="94" spans="1:7" x14ac:dyDescent="0.2">
      <c r="A94" s="7" t="s">
        <v>116</v>
      </c>
      <c r="B94" s="8">
        <v>25</v>
      </c>
      <c r="C94" s="7">
        <v>85</v>
      </c>
      <c r="D94" s="7">
        <v>55</v>
      </c>
      <c r="E94" s="8">
        <v>30</v>
      </c>
      <c r="F94" s="12">
        <v>1.9710648148148147E-2</v>
      </c>
      <c r="G94" s="7">
        <v>25</v>
      </c>
    </row>
    <row r="95" spans="1:7" x14ac:dyDescent="0.2">
      <c r="A95" s="10" t="s">
        <v>98</v>
      </c>
      <c r="B95" s="11">
        <v>21.9</v>
      </c>
      <c r="C95" s="10">
        <v>86.11</v>
      </c>
      <c r="D95" s="10">
        <v>47.22</v>
      </c>
      <c r="E95" s="11">
        <v>38.89</v>
      </c>
      <c r="F95" s="13">
        <v>1.9783912037037037E-2</v>
      </c>
      <c r="G95" s="10">
        <v>15</v>
      </c>
    </row>
    <row r="96" spans="1:7" x14ac:dyDescent="0.2">
      <c r="A96" s="7" t="s">
        <v>15</v>
      </c>
      <c r="B96" s="8">
        <v>33.6</v>
      </c>
      <c r="C96" s="7">
        <v>87.23</v>
      </c>
      <c r="D96" s="7">
        <v>68.09</v>
      </c>
      <c r="E96" s="8">
        <v>19.149999999999999</v>
      </c>
      <c r="F96" s="12">
        <v>1.9602893518518519E-2</v>
      </c>
      <c r="G96" s="7">
        <v>15</v>
      </c>
    </row>
    <row r="97" spans="1:7" x14ac:dyDescent="0.2">
      <c r="A97" s="10" t="s">
        <v>47</v>
      </c>
      <c r="B97" s="11">
        <v>39.9</v>
      </c>
      <c r="C97" s="10">
        <v>80.819999999999993</v>
      </c>
      <c r="D97" s="10">
        <v>65.75</v>
      </c>
      <c r="E97" s="11">
        <v>15.07</v>
      </c>
      <c r="F97" s="13">
        <v>2.1064004629629627E-2</v>
      </c>
      <c r="G97" s="10">
        <v>25</v>
      </c>
    </row>
    <row r="98" spans="1:7" x14ac:dyDescent="0.2">
      <c r="A98" s="7" t="s">
        <v>37</v>
      </c>
      <c r="B98" s="8">
        <v>37.799999999999997</v>
      </c>
      <c r="C98" s="7">
        <v>87.1</v>
      </c>
      <c r="D98" s="7">
        <v>66.13</v>
      </c>
      <c r="E98" s="8">
        <v>20.97</v>
      </c>
      <c r="F98" s="12">
        <v>2.4165856481481483E-2</v>
      </c>
      <c r="G98" s="7">
        <v>13</v>
      </c>
    </row>
    <row r="99" spans="1:7" x14ac:dyDescent="0.2">
      <c r="A99" s="10" t="s">
        <v>75</v>
      </c>
      <c r="B99" s="11">
        <v>27.3</v>
      </c>
      <c r="C99" s="10">
        <v>92.31</v>
      </c>
      <c r="D99" s="10">
        <v>58.97</v>
      </c>
      <c r="E99" s="11">
        <v>33.33</v>
      </c>
      <c r="F99" s="13">
        <v>2.034525462962963E-2</v>
      </c>
      <c r="G99" s="10">
        <v>18</v>
      </c>
    </row>
    <row r="100" spans="1:7" x14ac:dyDescent="0.2">
      <c r="A100" s="7" t="s">
        <v>27</v>
      </c>
      <c r="B100" s="8">
        <v>42.1</v>
      </c>
      <c r="C100" s="7">
        <v>80.3</v>
      </c>
      <c r="D100" s="7">
        <v>65.150000000000006</v>
      </c>
      <c r="E100" s="8">
        <v>15.15</v>
      </c>
      <c r="F100" s="12">
        <v>2.1780671296296295E-2</v>
      </c>
      <c r="G100" s="7">
        <v>19</v>
      </c>
    </row>
    <row r="101" spans="1:7" x14ac:dyDescent="0.2">
      <c r="A101" s="10" t="s">
        <v>90</v>
      </c>
      <c r="B101" s="11">
        <v>29.8</v>
      </c>
      <c r="C101" s="10">
        <v>87.1</v>
      </c>
      <c r="D101" s="10">
        <v>58.06</v>
      </c>
      <c r="E101" s="11">
        <v>29.03</v>
      </c>
      <c r="F101" s="13">
        <v>2.2867013888888888E-2</v>
      </c>
      <c r="G101" s="10">
        <v>19</v>
      </c>
    </row>
    <row r="102" spans="1:7" x14ac:dyDescent="0.2">
      <c r="A102" s="7" t="s">
        <v>117</v>
      </c>
      <c r="B102" s="8">
        <v>35.200000000000003</v>
      </c>
      <c r="C102" s="7">
        <v>83.33</v>
      </c>
      <c r="D102" s="7">
        <v>59.09</v>
      </c>
      <c r="E102" s="8">
        <v>24.24</v>
      </c>
      <c r="F102" s="12">
        <v>2.1207291666666666E-2</v>
      </c>
      <c r="G102" s="7">
        <v>12</v>
      </c>
    </row>
    <row r="103" spans="1:7" x14ac:dyDescent="0.2">
      <c r="A103" s="10" t="s">
        <v>61</v>
      </c>
      <c r="B103" s="11">
        <v>26.4</v>
      </c>
      <c r="C103" s="10">
        <v>88.24</v>
      </c>
      <c r="D103" s="10">
        <v>58.82</v>
      </c>
      <c r="E103" s="11">
        <v>29.41</v>
      </c>
      <c r="F103" s="13">
        <v>1.8832986111111109E-2</v>
      </c>
      <c r="G103" s="10">
        <v>14</v>
      </c>
    </row>
    <row r="104" spans="1:7" x14ac:dyDescent="0.2">
      <c r="A104" s="7" t="s">
        <v>43</v>
      </c>
      <c r="B104" s="8">
        <v>27.8</v>
      </c>
      <c r="C104" s="7">
        <v>77.78</v>
      </c>
      <c r="D104" s="7">
        <v>55.56</v>
      </c>
      <c r="E104" s="8">
        <v>22.22</v>
      </c>
      <c r="F104" s="12">
        <v>1.9589583333333334E-2</v>
      </c>
      <c r="G104" s="7">
        <v>24</v>
      </c>
    </row>
    <row r="105" spans="1:7" x14ac:dyDescent="0.2">
      <c r="A105" s="10" t="s">
        <v>121</v>
      </c>
      <c r="B105" s="11">
        <v>26.9</v>
      </c>
      <c r="C105" s="10">
        <v>76.09</v>
      </c>
      <c r="D105" s="10">
        <v>60.87</v>
      </c>
      <c r="E105" s="11">
        <v>15.22</v>
      </c>
      <c r="F105" s="13">
        <v>2.0105092592592595E-2</v>
      </c>
      <c r="G105" s="10">
        <v>21</v>
      </c>
    </row>
    <row r="106" spans="1:7" x14ac:dyDescent="0.2">
      <c r="A106" s="7" t="s">
        <v>28</v>
      </c>
      <c r="B106" s="8">
        <v>45.1</v>
      </c>
      <c r="C106" s="7">
        <v>87.5</v>
      </c>
      <c r="D106" s="7">
        <v>67.19</v>
      </c>
      <c r="E106" s="8">
        <v>20.309999999999999</v>
      </c>
      <c r="F106" s="12">
        <v>1.9374074074074075E-2</v>
      </c>
      <c r="G106" s="7">
        <v>23</v>
      </c>
    </row>
    <row r="107" spans="1:7" x14ac:dyDescent="0.2">
      <c r="A107" s="10" t="s">
        <v>14</v>
      </c>
      <c r="B107" s="11">
        <v>35</v>
      </c>
      <c r="C107" s="10">
        <v>83.93</v>
      </c>
      <c r="D107" s="10">
        <v>62.5</v>
      </c>
      <c r="E107" s="11">
        <v>21.43</v>
      </c>
      <c r="F107" s="13">
        <v>2.0515972222222224E-2</v>
      </c>
      <c r="G107" s="10">
        <v>14</v>
      </c>
    </row>
    <row r="108" spans="1:7" x14ac:dyDescent="0.2">
      <c r="A108" s="7" t="s">
        <v>53</v>
      </c>
      <c r="B108" s="8">
        <v>27.9</v>
      </c>
      <c r="C108" s="7">
        <v>86.49</v>
      </c>
      <c r="D108" s="7">
        <v>54.05</v>
      </c>
      <c r="E108" s="8">
        <v>32.43</v>
      </c>
      <c r="F108" s="12">
        <v>1.8198263888888889E-2</v>
      </c>
      <c r="G108" s="7">
        <v>19</v>
      </c>
    </row>
    <row r="109" spans="1:7" x14ac:dyDescent="0.2">
      <c r="A109" s="10" t="s">
        <v>74</v>
      </c>
      <c r="B109" s="11">
        <v>19.7</v>
      </c>
      <c r="C109" s="10">
        <v>89.29</v>
      </c>
      <c r="D109" s="10">
        <v>57.14</v>
      </c>
      <c r="E109" s="11">
        <v>32.14</v>
      </c>
      <c r="F109" s="13">
        <v>1.9672106481481481E-2</v>
      </c>
      <c r="G109" s="10">
        <v>15</v>
      </c>
    </row>
    <row r="110" spans="1:7" x14ac:dyDescent="0.2">
      <c r="A110" s="7" t="s">
        <v>59</v>
      </c>
      <c r="B110" s="8">
        <v>37.200000000000003</v>
      </c>
      <c r="C110" s="7">
        <v>85.96</v>
      </c>
      <c r="D110" s="7">
        <v>61.4</v>
      </c>
      <c r="E110" s="8">
        <v>24.56</v>
      </c>
      <c r="F110" s="12">
        <v>1.9259259259259261E-2</v>
      </c>
      <c r="G110" s="7">
        <v>20</v>
      </c>
    </row>
    <row r="111" spans="1:7" x14ac:dyDescent="0.2">
      <c r="A111" s="10" t="s">
        <v>0</v>
      </c>
      <c r="B111" s="11">
        <v>13.9</v>
      </c>
      <c r="C111" s="10">
        <v>75</v>
      </c>
      <c r="D111" s="10">
        <v>42.86</v>
      </c>
      <c r="E111" s="11">
        <v>32.14</v>
      </c>
      <c r="F111" s="13">
        <v>1.9163773148148149E-2</v>
      </c>
      <c r="G111" s="10">
        <v>33</v>
      </c>
    </row>
    <row r="112" spans="1:7" x14ac:dyDescent="0.2">
      <c r="A112" s="7" t="s">
        <v>31</v>
      </c>
      <c r="B112" s="8">
        <v>32.200000000000003</v>
      </c>
      <c r="C112" s="7">
        <v>89.47</v>
      </c>
      <c r="D112" s="7">
        <v>61.4</v>
      </c>
      <c r="E112" s="8">
        <v>28.07</v>
      </c>
      <c r="F112" s="12">
        <v>1.800486111111111E-2</v>
      </c>
      <c r="G112" s="7">
        <v>19</v>
      </c>
    </row>
    <row r="113" spans="1:7" x14ac:dyDescent="0.2">
      <c r="A113" s="10" t="s">
        <v>62</v>
      </c>
      <c r="B113" s="11">
        <v>28.6</v>
      </c>
      <c r="C113" s="10">
        <v>78.260000000000005</v>
      </c>
      <c r="D113" s="10">
        <v>58.7</v>
      </c>
      <c r="E113" s="11">
        <v>19.57</v>
      </c>
      <c r="F113" s="13">
        <v>2.1588541666666666E-2</v>
      </c>
      <c r="G113" s="10">
        <v>17</v>
      </c>
    </row>
    <row r="114" spans="1:7" x14ac:dyDescent="0.2">
      <c r="A114" s="7" t="s">
        <v>26</v>
      </c>
      <c r="B114" s="8">
        <v>33.9</v>
      </c>
      <c r="C114" s="7">
        <v>87.72</v>
      </c>
      <c r="D114" s="7">
        <v>70.180000000000007</v>
      </c>
      <c r="E114" s="8">
        <v>17.54</v>
      </c>
      <c r="F114" s="12">
        <v>2.0299305555555557E-2</v>
      </c>
      <c r="G114" s="7">
        <v>12</v>
      </c>
    </row>
    <row r="115" spans="1:7" x14ac:dyDescent="0.2">
      <c r="A115" s="10" t="s">
        <v>57</v>
      </c>
      <c r="B115" s="11">
        <v>30.6</v>
      </c>
      <c r="C115" s="10">
        <v>91.3</v>
      </c>
      <c r="D115" s="10">
        <v>60.87</v>
      </c>
      <c r="E115" s="11">
        <v>30.43</v>
      </c>
      <c r="F115" s="13">
        <v>2.2723495370370373E-2</v>
      </c>
      <c r="G115" s="10">
        <v>21</v>
      </c>
    </row>
    <row r="116" spans="1:7" x14ac:dyDescent="0.2">
      <c r="A116" s="7" t="s">
        <v>44</v>
      </c>
      <c r="B116" s="8">
        <v>29</v>
      </c>
      <c r="C116" s="7">
        <v>72.09</v>
      </c>
      <c r="D116" s="7">
        <v>55.81</v>
      </c>
      <c r="E116" s="8">
        <v>16.28</v>
      </c>
      <c r="F116" s="12">
        <v>2.000625E-2</v>
      </c>
      <c r="G116" s="7">
        <v>24</v>
      </c>
    </row>
    <row r="117" spans="1:7" x14ac:dyDescent="0.2">
      <c r="A117" s="10" t="s">
        <v>128</v>
      </c>
      <c r="B117" s="11">
        <v>20.7</v>
      </c>
      <c r="C117" s="10">
        <v>86.67</v>
      </c>
      <c r="D117" s="10">
        <v>46.67</v>
      </c>
      <c r="E117" s="11">
        <v>40</v>
      </c>
      <c r="F117" s="13">
        <v>2.3365162037037038E-2</v>
      </c>
      <c r="G117" s="10">
        <v>23</v>
      </c>
    </row>
    <row r="118" spans="1:7" x14ac:dyDescent="0.2">
      <c r="A118" s="7" t="s">
        <v>102</v>
      </c>
      <c r="B118" s="8">
        <v>22.6</v>
      </c>
      <c r="C118" s="7">
        <v>75.61</v>
      </c>
      <c r="D118" s="7">
        <v>56.1</v>
      </c>
      <c r="E118" s="8">
        <v>19.510000000000002</v>
      </c>
      <c r="F118" s="12">
        <v>1.9827314814814815E-2</v>
      </c>
      <c r="G118" s="7">
        <v>23</v>
      </c>
    </row>
    <row r="119" spans="1:7" x14ac:dyDescent="0.2">
      <c r="A119" s="10" t="s">
        <v>92</v>
      </c>
      <c r="B119" s="11">
        <v>15.2</v>
      </c>
      <c r="C119" s="10">
        <v>63.64</v>
      </c>
      <c r="D119" s="10">
        <v>45.45</v>
      </c>
      <c r="E119" s="11">
        <v>18.18</v>
      </c>
      <c r="F119" s="13">
        <v>2.2307060185185187E-2</v>
      </c>
      <c r="G119" s="10">
        <v>25</v>
      </c>
    </row>
    <row r="120" spans="1:7" x14ac:dyDescent="0.2">
      <c r="A120" s="7" t="s">
        <v>100</v>
      </c>
      <c r="B120" s="8">
        <v>25.8</v>
      </c>
      <c r="C120" s="7">
        <v>87.88</v>
      </c>
      <c r="D120" s="7">
        <v>51.52</v>
      </c>
      <c r="E120" s="8">
        <v>36.36</v>
      </c>
      <c r="F120" s="12">
        <v>2.2702546296296297E-2</v>
      </c>
      <c r="G120" s="7">
        <v>24</v>
      </c>
    </row>
    <row r="121" spans="1:7" x14ac:dyDescent="0.2">
      <c r="A121" s="10" t="s">
        <v>64</v>
      </c>
      <c r="B121" s="11">
        <v>31</v>
      </c>
      <c r="C121" s="10">
        <v>86.54</v>
      </c>
      <c r="D121" s="10">
        <v>63.46</v>
      </c>
      <c r="E121" s="11">
        <v>23.08</v>
      </c>
      <c r="F121" s="13">
        <v>2.1839351851851849E-2</v>
      </c>
      <c r="G121" s="10">
        <v>21</v>
      </c>
    </row>
    <row r="122" spans="1:7" x14ac:dyDescent="0.2">
      <c r="A122" s="7" t="s">
        <v>32</v>
      </c>
      <c r="B122" s="8">
        <v>17.399999999999999</v>
      </c>
      <c r="C122" s="7">
        <v>78.13</v>
      </c>
      <c r="D122" s="7">
        <v>46.88</v>
      </c>
      <c r="E122" s="8">
        <v>31.25</v>
      </c>
      <c r="F122" s="12">
        <v>2.1631018518518518E-2</v>
      </c>
      <c r="G122" s="7">
        <v>24</v>
      </c>
    </row>
    <row r="123" spans="1:7" x14ac:dyDescent="0.2">
      <c r="A123" s="10" t="s">
        <v>17</v>
      </c>
      <c r="B123" s="11">
        <v>30.6</v>
      </c>
      <c r="C123" s="10">
        <v>83.02</v>
      </c>
      <c r="D123" s="10">
        <v>58.49</v>
      </c>
      <c r="E123" s="11">
        <v>24.53</v>
      </c>
      <c r="F123" s="13">
        <v>2.082974537037037E-2</v>
      </c>
      <c r="G123" s="10">
        <v>22</v>
      </c>
    </row>
    <row r="124" spans="1:7" x14ac:dyDescent="0.2">
      <c r="A124" s="7" t="s">
        <v>41</v>
      </c>
      <c r="B124" s="8">
        <v>31.5</v>
      </c>
      <c r="C124" s="7">
        <v>94.55</v>
      </c>
      <c r="D124" s="7">
        <v>65.45</v>
      </c>
      <c r="E124" s="8">
        <v>29.09</v>
      </c>
      <c r="F124" s="12">
        <v>2.0983796296296296E-2</v>
      </c>
      <c r="G124" s="7">
        <v>25</v>
      </c>
    </row>
    <row r="125" spans="1:7" x14ac:dyDescent="0.2">
      <c r="A125" s="10" t="s">
        <v>20</v>
      </c>
      <c r="B125" s="11">
        <v>34</v>
      </c>
      <c r="C125" s="10">
        <v>82.76</v>
      </c>
      <c r="D125" s="10">
        <v>56.9</v>
      </c>
      <c r="E125" s="11">
        <v>25.86</v>
      </c>
      <c r="F125" s="13">
        <v>2.0404166666666668E-2</v>
      </c>
      <c r="G125" s="10">
        <v>22</v>
      </c>
    </row>
    <row r="126" spans="1:7" x14ac:dyDescent="0.2">
      <c r="A126" s="7" t="s">
        <v>80</v>
      </c>
      <c r="B126" s="8">
        <v>44.3</v>
      </c>
      <c r="C126" s="7">
        <v>87.67</v>
      </c>
      <c r="D126" s="7">
        <v>72.599999999999994</v>
      </c>
      <c r="E126" s="8">
        <v>15.07</v>
      </c>
      <c r="F126" s="12">
        <v>2.0964814814814815E-2</v>
      </c>
      <c r="G126" s="7">
        <v>17</v>
      </c>
    </row>
    <row r="127" spans="1:7" x14ac:dyDescent="0.2">
      <c r="A127" s="10" t="s">
        <v>29</v>
      </c>
      <c r="B127" s="11">
        <v>36</v>
      </c>
      <c r="C127" s="10">
        <v>79.31</v>
      </c>
      <c r="D127" s="10">
        <v>60.34</v>
      </c>
      <c r="E127" s="11">
        <v>18.97</v>
      </c>
      <c r="F127" s="13">
        <v>2.3996643518518518E-2</v>
      </c>
      <c r="G127" s="10">
        <v>17</v>
      </c>
    </row>
    <row r="128" spans="1:7" x14ac:dyDescent="0.2">
      <c r="A128" s="7" t="s">
        <v>25</v>
      </c>
      <c r="B128" s="8">
        <v>26.8</v>
      </c>
      <c r="C128" s="7">
        <v>85.19</v>
      </c>
      <c r="D128" s="7">
        <v>64.81</v>
      </c>
      <c r="E128" s="8">
        <v>20.37</v>
      </c>
      <c r="F128" s="12">
        <v>2.3513194444444444E-2</v>
      </c>
      <c r="G128" s="7">
        <v>18</v>
      </c>
    </row>
    <row r="129" spans="1:7" x14ac:dyDescent="0.2">
      <c r="A129" s="10" t="s">
        <v>106</v>
      </c>
      <c r="B129" s="11">
        <v>19</v>
      </c>
      <c r="C129" s="10">
        <v>61.54</v>
      </c>
      <c r="D129" s="10">
        <v>56.41</v>
      </c>
      <c r="E129" s="11">
        <v>5.13</v>
      </c>
      <c r="F129" s="13">
        <v>2.0992476851851852E-2</v>
      </c>
      <c r="G129" s="10">
        <v>21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/>
  <dimension ref="A1:Q129"/>
  <sheetViews>
    <sheetView workbookViewId="0">
      <selection activeCell="I2" sqref="I2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5.83203125" bestFit="1" customWidth="1"/>
    <col min="11" max="11" width="4.5" bestFit="1" customWidth="1"/>
    <col min="12" max="12" width="7.83203125" bestFit="1" customWidth="1"/>
    <col min="13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31.5</v>
      </c>
      <c r="C2" s="7">
        <v>90</v>
      </c>
      <c r="D2" s="7">
        <v>65</v>
      </c>
      <c r="E2" s="8">
        <v>25</v>
      </c>
      <c r="F2" s="12">
        <v>2.1907986111111111E-2</v>
      </c>
      <c r="G2" s="7">
        <v>17</v>
      </c>
      <c r="I2">
        <v>1</v>
      </c>
      <c r="J2" t="s">
        <v>4</v>
      </c>
      <c r="K2">
        <f>VLOOKUP($J2,Offense_2014[],2)</f>
        <v>44.8</v>
      </c>
      <c r="L2">
        <f>VLOOKUP($J2,Offense_2014[],3)</f>
        <v>85.14</v>
      </c>
      <c r="M2">
        <f>VLOOKUP($J2,Offense_2014[],4)</f>
        <v>71.62</v>
      </c>
      <c r="N2">
        <f>VLOOKUP($J2,Offense_2014[],5)</f>
        <v>13.51</v>
      </c>
      <c r="O2" s="1">
        <f>VLOOKUP($J2,Offense_2014[],6)</f>
        <v>2.1878124999999998E-2</v>
      </c>
      <c r="P2">
        <f>VLOOKUP($J2,Offense_2014[],7)</f>
        <v>26</v>
      </c>
      <c r="Q2">
        <v>2014</v>
      </c>
    </row>
    <row r="3" spans="1:17" x14ac:dyDescent="0.2">
      <c r="A3" s="10" t="s">
        <v>103</v>
      </c>
      <c r="B3" s="11">
        <v>22.6</v>
      </c>
      <c r="C3" s="10">
        <v>68.09</v>
      </c>
      <c r="D3" s="10">
        <v>48.94</v>
      </c>
      <c r="E3" s="11">
        <v>19.149999999999999</v>
      </c>
      <c r="F3" s="13">
        <v>2.0207407407407407E-2</v>
      </c>
      <c r="G3" s="10">
        <v>26</v>
      </c>
      <c r="I3">
        <v>2</v>
      </c>
      <c r="J3" t="s">
        <v>18</v>
      </c>
      <c r="K3">
        <f>VLOOKUP($J3,Offense_2014[],2)</f>
        <v>45.4</v>
      </c>
      <c r="L3">
        <f>VLOOKUP($J3,Offense_2014[],3)</f>
        <v>86.25</v>
      </c>
      <c r="M3">
        <f>VLOOKUP($J3,Offense_2014[],4)</f>
        <v>65</v>
      </c>
      <c r="N3">
        <f>VLOOKUP($J3,Offense_2014[],5)</f>
        <v>21.25</v>
      </c>
      <c r="O3" s="1">
        <f>VLOOKUP($J3,Offense_2014[],6)</f>
        <v>1.8622685185185183E-2</v>
      </c>
      <c r="P3">
        <f>VLOOKUP($J3,Offense_2014[],7)</f>
        <v>11</v>
      </c>
      <c r="Q3">
        <v>2014</v>
      </c>
    </row>
    <row r="4" spans="1:17" x14ac:dyDescent="0.2">
      <c r="A4" s="7" t="s">
        <v>11</v>
      </c>
      <c r="B4" s="8">
        <v>36.9</v>
      </c>
      <c r="C4" s="7">
        <v>85.94</v>
      </c>
      <c r="D4" s="7">
        <v>70.31</v>
      </c>
      <c r="E4" s="8">
        <v>15.63</v>
      </c>
      <c r="F4" s="12">
        <v>2.2042824074074072E-2</v>
      </c>
      <c r="G4" s="7">
        <v>22</v>
      </c>
      <c r="I4">
        <v>3</v>
      </c>
      <c r="J4" t="s">
        <v>27</v>
      </c>
      <c r="K4">
        <f>VLOOKUP($J4,Offense_2014[],2)</f>
        <v>46.5</v>
      </c>
      <c r="L4">
        <f>VLOOKUP($J4,Offense_2014[],3)</f>
        <v>86.15</v>
      </c>
      <c r="M4">
        <f>VLOOKUP($J4,Offense_2014[],4)</f>
        <v>61.54</v>
      </c>
      <c r="N4">
        <f>VLOOKUP($J4,Offense_2014[],5)</f>
        <v>24.62</v>
      </c>
      <c r="O4" s="1">
        <f>VLOOKUP($J4,Offense_2014[],6)</f>
        <v>2.1265972222222221E-2</v>
      </c>
      <c r="P4">
        <f>VLOOKUP($J4,Offense_2014[],7)</f>
        <v>22</v>
      </c>
      <c r="Q4">
        <v>2014</v>
      </c>
    </row>
    <row r="5" spans="1:17" x14ac:dyDescent="0.2">
      <c r="A5" s="10" t="s">
        <v>45</v>
      </c>
      <c r="B5" s="11">
        <v>35.700000000000003</v>
      </c>
      <c r="C5" s="10">
        <v>75</v>
      </c>
      <c r="D5" s="10">
        <v>66.67</v>
      </c>
      <c r="E5" s="11">
        <v>8.33</v>
      </c>
      <c r="F5" s="13">
        <v>2.1759259259259259E-2</v>
      </c>
      <c r="G5" s="10">
        <v>21</v>
      </c>
      <c r="I5">
        <v>4</v>
      </c>
      <c r="J5" t="s">
        <v>11</v>
      </c>
      <c r="K5">
        <f>VLOOKUP($J5,Offense_2014[],2)</f>
        <v>36.9</v>
      </c>
      <c r="L5">
        <f>VLOOKUP($J5,Offense_2014[],3)</f>
        <v>85.94</v>
      </c>
      <c r="M5">
        <f>VLOOKUP($J5,Offense_2014[],4)</f>
        <v>70.31</v>
      </c>
      <c r="N5">
        <f>VLOOKUP($J5,Offense_2014[],5)</f>
        <v>15.63</v>
      </c>
      <c r="O5" s="1">
        <f>VLOOKUP($J5,Offense_2014[],6)</f>
        <v>2.2042824074074072E-2</v>
      </c>
      <c r="P5">
        <f>VLOOKUP($J5,Offense_2014[],7)</f>
        <v>22</v>
      </c>
      <c r="Q5">
        <v>2014</v>
      </c>
    </row>
    <row r="6" spans="1:17" x14ac:dyDescent="0.2">
      <c r="A6" s="7" t="s">
        <v>5</v>
      </c>
      <c r="B6" s="8">
        <v>34.5</v>
      </c>
      <c r="C6" s="7">
        <v>80</v>
      </c>
      <c r="D6" s="7">
        <v>55</v>
      </c>
      <c r="E6" s="8">
        <v>25</v>
      </c>
      <c r="F6" s="12">
        <v>1.8909606481481479E-2</v>
      </c>
      <c r="G6" s="7">
        <v>18</v>
      </c>
      <c r="I6">
        <v>5</v>
      </c>
      <c r="J6" t="s">
        <v>88</v>
      </c>
      <c r="K6">
        <f>VLOOKUP($J6,Offense_2014[],2)</f>
        <v>33.700000000000003</v>
      </c>
      <c r="L6">
        <f>VLOOKUP($J6,Offense_2014[],3)</f>
        <v>91.53</v>
      </c>
      <c r="M6">
        <f>VLOOKUP($J6,Offense_2014[],4)</f>
        <v>59.32</v>
      </c>
      <c r="N6">
        <f>VLOOKUP($J6,Offense_2014[],5)</f>
        <v>32.200000000000003</v>
      </c>
      <c r="O6" s="1">
        <f>VLOOKUP($J6,Offense_2014[],6)</f>
        <v>2.01E-2</v>
      </c>
      <c r="P6">
        <f>VLOOKUP($J6,Offense_2014[],7)</f>
        <v>32</v>
      </c>
      <c r="Q6">
        <v>2014</v>
      </c>
    </row>
    <row r="7" spans="1:17" x14ac:dyDescent="0.2">
      <c r="A7" s="10" t="s">
        <v>38</v>
      </c>
      <c r="B7" s="11">
        <v>36.9</v>
      </c>
      <c r="C7" s="10">
        <v>90.63</v>
      </c>
      <c r="D7" s="10">
        <v>62.5</v>
      </c>
      <c r="E7" s="11">
        <v>28.13</v>
      </c>
      <c r="F7" s="13">
        <v>1.9934953703703705E-2</v>
      </c>
      <c r="G7" s="10">
        <v>13</v>
      </c>
      <c r="I7">
        <v>6</v>
      </c>
      <c r="J7" t="s">
        <v>104</v>
      </c>
      <c r="K7">
        <f>VLOOKUP($J7,Offense_2014[],2)</f>
        <v>43</v>
      </c>
      <c r="L7">
        <f>VLOOKUP($J7,Offense_2014[],3)</f>
        <v>86.76</v>
      </c>
      <c r="M7">
        <f>VLOOKUP($J7,Offense_2014[],4)</f>
        <v>72.06</v>
      </c>
      <c r="N7">
        <f>VLOOKUP($J7,Offense_2014[],5)</f>
        <v>14.71</v>
      </c>
      <c r="O7" s="1">
        <f>VLOOKUP($J7,Offense_2014[],6)</f>
        <v>2.4550347222222223E-2</v>
      </c>
      <c r="P7">
        <f>VLOOKUP($J7,Offense_2014[],7)</f>
        <v>15</v>
      </c>
      <c r="Q7">
        <v>2014</v>
      </c>
    </row>
    <row r="8" spans="1:17" x14ac:dyDescent="0.2">
      <c r="A8" s="7" t="s">
        <v>63</v>
      </c>
      <c r="B8" s="8">
        <v>31.9</v>
      </c>
      <c r="C8" s="7">
        <v>78.569999999999993</v>
      </c>
      <c r="D8" s="7">
        <v>64.290000000000006</v>
      </c>
      <c r="E8" s="8">
        <v>14.29</v>
      </c>
      <c r="F8" s="12">
        <v>2.3644097222222219E-2</v>
      </c>
      <c r="G8" s="7">
        <v>17</v>
      </c>
      <c r="I8">
        <v>7</v>
      </c>
      <c r="J8" t="s">
        <v>94</v>
      </c>
      <c r="K8">
        <f>VLOOKUP($J8,Offense_2014[],2)</f>
        <v>48.2</v>
      </c>
      <c r="L8">
        <f>VLOOKUP($J8,Offense_2014[],3)</f>
        <v>84.93</v>
      </c>
      <c r="M8">
        <f>VLOOKUP($J8,Offense_2014[],4)</f>
        <v>65.75</v>
      </c>
      <c r="N8">
        <f>VLOOKUP($J8,Offense_2014[],5)</f>
        <v>19.18</v>
      </c>
      <c r="O8" s="1">
        <f>VLOOKUP($J8,Offense_2014[],6)</f>
        <v>2.0172685185185186E-2</v>
      </c>
      <c r="P8">
        <f>VLOOKUP($J8,Offense_2014[],7)</f>
        <v>13</v>
      </c>
      <c r="Q8">
        <v>2014</v>
      </c>
    </row>
    <row r="9" spans="1:17" x14ac:dyDescent="0.2">
      <c r="A9" s="10" t="s">
        <v>8</v>
      </c>
      <c r="B9" s="11">
        <v>36.700000000000003</v>
      </c>
      <c r="C9" s="10">
        <v>81.03</v>
      </c>
      <c r="D9" s="10">
        <v>63.79</v>
      </c>
      <c r="E9" s="11">
        <v>17.239999999999998</v>
      </c>
      <c r="F9" s="13">
        <v>2.0036458333333333E-2</v>
      </c>
      <c r="G9" s="10">
        <v>22</v>
      </c>
      <c r="I9">
        <v>8</v>
      </c>
      <c r="J9" t="s">
        <v>71</v>
      </c>
      <c r="K9">
        <f>VLOOKUP($J9,Offense_2014[],2)</f>
        <v>37.9</v>
      </c>
      <c r="L9">
        <f>VLOOKUP($J9,Offense_2014[],3)</f>
        <v>80.819999999999993</v>
      </c>
      <c r="M9">
        <f>VLOOKUP($J9,Offense_2014[],4)</f>
        <v>69.86</v>
      </c>
      <c r="N9">
        <f>VLOOKUP($J9,Offense_2014[],5)</f>
        <v>10.96</v>
      </c>
      <c r="O9" s="1">
        <f>VLOOKUP($J9,Offense_2014[],6)</f>
        <v>2.3720254629629633E-2</v>
      </c>
      <c r="P9">
        <f>VLOOKUP($J9,Offense_2014[],7)</f>
        <v>18</v>
      </c>
      <c r="Q9">
        <v>2014</v>
      </c>
    </row>
    <row r="10" spans="1:17" x14ac:dyDescent="0.2">
      <c r="A10" s="7" t="s">
        <v>42</v>
      </c>
      <c r="B10" s="8">
        <v>24.9</v>
      </c>
      <c r="C10" s="7">
        <v>74.36</v>
      </c>
      <c r="D10" s="7">
        <v>66.67</v>
      </c>
      <c r="E10" s="8">
        <v>7.69</v>
      </c>
      <c r="F10" s="12">
        <v>2.1756365740740743E-2</v>
      </c>
      <c r="G10" s="7">
        <v>13</v>
      </c>
      <c r="I10">
        <v>9</v>
      </c>
      <c r="J10" t="s">
        <v>22</v>
      </c>
      <c r="K10">
        <f>VLOOKUP($J10,Offense_2014[],2)</f>
        <v>41.3</v>
      </c>
      <c r="L10">
        <f>VLOOKUP($J10,Offense_2014[],3)</f>
        <v>85.07</v>
      </c>
      <c r="M10">
        <f>VLOOKUP($J10,Offense_2014[],4)</f>
        <v>67.16</v>
      </c>
      <c r="N10">
        <f>VLOOKUP($J10,Offense_2014[],5)</f>
        <v>17.91</v>
      </c>
      <c r="O10" s="1">
        <f>VLOOKUP($J10,Offense_2014[],6)</f>
        <v>2.0326736111111108E-2</v>
      </c>
      <c r="P10">
        <f>VLOOKUP($J10,Offense_2014[],7)</f>
        <v>13</v>
      </c>
      <c r="Q10">
        <v>2014</v>
      </c>
    </row>
    <row r="11" spans="1:17" x14ac:dyDescent="0.2">
      <c r="A11" s="10" t="s">
        <v>19</v>
      </c>
      <c r="B11" s="11">
        <v>35.5</v>
      </c>
      <c r="C11" s="10">
        <v>87.93</v>
      </c>
      <c r="D11" s="10">
        <v>65.52</v>
      </c>
      <c r="E11" s="11">
        <v>22.41</v>
      </c>
      <c r="F11" s="13">
        <v>2.0748726851851852E-2</v>
      </c>
      <c r="G11" s="10">
        <v>20</v>
      </c>
      <c r="I11">
        <v>10</v>
      </c>
      <c r="J11" t="s">
        <v>31</v>
      </c>
      <c r="K11">
        <f>VLOOKUP($J11,Offense_2014[],2)</f>
        <v>33.5</v>
      </c>
      <c r="L11">
        <f>VLOOKUP($J11,Offense_2014[],3)</f>
        <v>94.12</v>
      </c>
      <c r="M11">
        <f>VLOOKUP($J11,Offense_2014[],4)</f>
        <v>62.75</v>
      </c>
      <c r="N11">
        <f>VLOOKUP($J11,Offense_2014[],5)</f>
        <v>31.37</v>
      </c>
      <c r="O11" s="1">
        <f>VLOOKUP($J11,Offense_2014[],6)</f>
        <v>2.0253703703703704E-2</v>
      </c>
      <c r="P11">
        <f>VLOOKUP($J11,Offense_2014[],7)</f>
        <v>16</v>
      </c>
      <c r="Q11">
        <v>2014</v>
      </c>
    </row>
    <row r="12" spans="1:17" x14ac:dyDescent="0.2">
      <c r="A12" s="7" t="s">
        <v>120</v>
      </c>
      <c r="B12" s="8">
        <v>27.7</v>
      </c>
      <c r="C12" s="7">
        <v>89.13</v>
      </c>
      <c r="D12" s="7">
        <v>47.83</v>
      </c>
      <c r="E12" s="8">
        <v>41.3</v>
      </c>
      <c r="F12" s="12">
        <v>2.0751388888888892E-2</v>
      </c>
      <c r="G12" s="7">
        <v>15</v>
      </c>
      <c r="I12">
        <v>11</v>
      </c>
      <c r="J12" t="s">
        <v>35</v>
      </c>
      <c r="K12">
        <f>VLOOKUP($J12,Offense_2014[],2)</f>
        <v>36.9</v>
      </c>
      <c r="L12">
        <f>VLOOKUP($J12,Offense_2014[],3)</f>
        <v>81.97</v>
      </c>
      <c r="M12">
        <f>VLOOKUP($J12,Offense_2014[],4)</f>
        <v>63.93</v>
      </c>
      <c r="N12">
        <f>VLOOKUP($J12,Offense_2014[],5)</f>
        <v>18.03</v>
      </c>
      <c r="O12" s="1">
        <f>VLOOKUP($J12,Offense_2014[],6)</f>
        <v>2.0571527777777779E-2</v>
      </c>
      <c r="P12">
        <f>VLOOKUP($J12,Offense_2014[],7)</f>
        <v>23</v>
      </c>
      <c r="Q12">
        <v>2014</v>
      </c>
    </row>
    <row r="13" spans="1:17" x14ac:dyDescent="0.2">
      <c r="A13" s="10" t="s">
        <v>94</v>
      </c>
      <c r="B13" s="11">
        <v>48.2</v>
      </c>
      <c r="C13" s="10">
        <v>84.93</v>
      </c>
      <c r="D13" s="10">
        <v>65.75</v>
      </c>
      <c r="E13" s="11">
        <v>19.18</v>
      </c>
      <c r="F13" s="13">
        <v>2.0172685185185186E-2</v>
      </c>
      <c r="G13" s="10">
        <v>13</v>
      </c>
      <c r="I13">
        <v>12</v>
      </c>
      <c r="J13" t="s">
        <v>38</v>
      </c>
      <c r="K13">
        <f>VLOOKUP($J13,Offense_2014[],2)</f>
        <v>36.9</v>
      </c>
      <c r="L13">
        <f>VLOOKUP($J13,Offense_2014[],3)</f>
        <v>90.63</v>
      </c>
      <c r="M13">
        <f>VLOOKUP($J13,Offense_2014[],4)</f>
        <v>62.5</v>
      </c>
      <c r="N13">
        <f>VLOOKUP($J13,Offense_2014[],5)</f>
        <v>28.13</v>
      </c>
      <c r="O13" s="1">
        <f>VLOOKUP($J13,Offense_2014[],6)</f>
        <v>1.9934953703703705E-2</v>
      </c>
      <c r="P13">
        <f>VLOOKUP($J13,Offense_2014[],7)</f>
        <v>13</v>
      </c>
      <c r="Q13">
        <v>2014</v>
      </c>
    </row>
    <row r="14" spans="1:17" x14ac:dyDescent="0.2">
      <c r="A14" s="7" t="s">
        <v>33</v>
      </c>
      <c r="B14" s="8">
        <v>39.700000000000003</v>
      </c>
      <c r="C14" s="7">
        <v>90.14</v>
      </c>
      <c r="D14" s="7">
        <v>70.42</v>
      </c>
      <c r="E14" s="8">
        <v>19.72</v>
      </c>
      <c r="F14" s="12">
        <v>2.1844444444444444E-2</v>
      </c>
      <c r="G14" s="7">
        <v>24</v>
      </c>
      <c r="I14">
        <v>13</v>
      </c>
      <c r="J14" t="s">
        <v>25</v>
      </c>
      <c r="K14">
        <f>VLOOKUP($J14,Offense_2014[],2)</f>
        <v>34.6</v>
      </c>
      <c r="L14">
        <f>VLOOKUP($J14,Offense_2014[],3)</f>
        <v>86.89</v>
      </c>
      <c r="M14">
        <f>VLOOKUP($J14,Offense_2014[],4)</f>
        <v>63.93</v>
      </c>
      <c r="N14">
        <f>VLOOKUP($J14,Offense_2014[],5)</f>
        <v>22.95</v>
      </c>
      <c r="O14" s="1">
        <f>VLOOKUP($J14,Offense_2014[],6)</f>
        <v>2.3363078703703705E-2</v>
      </c>
      <c r="P14">
        <f>VLOOKUP($J14,Offense_2014[],7)</f>
        <v>26</v>
      </c>
      <c r="Q14">
        <v>2014</v>
      </c>
    </row>
    <row r="15" spans="1:17" x14ac:dyDescent="0.2">
      <c r="A15" s="10" t="s">
        <v>79</v>
      </c>
      <c r="B15" s="11">
        <v>26.2</v>
      </c>
      <c r="C15" s="10">
        <v>83.78</v>
      </c>
      <c r="D15" s="10">
        <v>62.16</v>
      </c>
      <c r="E15" s="11">
        <v>21.62</v>
      </c>
      <c r="F15" s="13">
        <v>2.298611111111111E-2</v>
      </c>
      <c r="G15" s="10">
        <v>13</v>
      </c>
      <c r="I15">
        <v>14</v>
      </c>
      <c r="J15" t="s">
        <v>10</v>
      </c>
      <c r="K15">
        <f>VLOOKUP($J15,Offense_2014[],2)</f>
        <v>27.8</v>
      </c>
      <c r="L15">
        <f>VLOOKUP($J15,Offense_2014[],3)</f>
        <v>93.33</v>
      </c>
      <c r="M15">
        <f>VLOOKUP($J15,Offense_2014[],4)</f>
        <v>62.22</v>
      </c>
      <c r="N15">
        <f>VLOOKUP($J15,Offense_2014[],5)</f>
        <v>31.11</v>
      </c>
      <c r="O15" s="1">
        <f>VLOOKUP($J15,Offense_2014[],6)</f>
        <v>2.0136458333333333E-2</v>
      </c>
      <c r="P15">
        <f>VLOOKUP($J15,Offense_2014[],7)</f>
        <v>16</v>
      </c>
      <c r="Q15">
        <v>2014</v>
      </c>
    </row>
    <row r="16" spans="1:17" x14ac:dyDescent="0.2">
      <c r="A16" s="7" t="s">
        <v>87</v>
      </c>
      <c r="B16" s="8">
        <v>30</v>
      </c>
      <c r="C16" s="7">
        <v>83.02</v>
      </c>
      <c r="D16" s="7">
        <v>50.94</v>
      </c>
      <c r="E16" s="8">
        <v>32.08</v>
      </c>
      <c r="F16" s="12">
        <v>1.8197800925925926E-2</v>
      </c>
      <c r="G16" s="7">
        <v>23</v>
      </c>
      <c r="I16">
        <v>15</v>
      </c>
      <c r="J16" t="s">
        <v>24</v>
      </c>
      <c r="K16">
        <f>VLOOKUP($J16,Offense_2014[],2)</f>
        <v>30.8</v>
      </c>
      <c r="L16">
        <f>VLOOKUP($J16,Offense_2014[],3)</f>
        <v>73.08</v>
      </c>
      <c r="M16">
        <f>VLOOKUP($J16,Offense_2014[],4)</f>
        <v>48.08</v>
      </c>
      <c r="N16">
        <f>VLOOKUP($J16,Offense_2014[],5)</f>
        <v>25</v>
      </c>
      <c r="O16" s="1">
        <f>VLOOKUP($J16,Offense_2014[],6)</f>
        <v>2.1797569444444446E-2</v>
      </c>
      <c r="P16">
        <f>VLOOKUP($J16,Offense_2014[],7)</f>
        <v>18</v>
      </c>
      <c r="Q16">
        <v>2014</v>
      </c>
    </row>
    <row r="17" spans="1:17" x14ac:dyDescent="0.2">
      <c r="A17" s="10" t="s">
        <v>66</v>
      </c>
      <c r="B17" s="11">
        <v>32.299999999999997</v>
      </c>
      <c r="C17" s="10">
        <v>74</v>
      </c>
      <c r="D17" s="10">
        <v>62</v>
      </c>
      <c r="E17" s="11">
        <v>12</v>
      </c>
      <c r="F17" s="13">
        <v>2.2824074074074076E-2</v>
      </c>
      <c r="G17" s="10">
        <v>18</v>
      </c>
      <c r="I17">
        <v>16</v>
      </c>
      <c r="J17" t="s">
        <v>33</v>
      </c>
      <c r="K17">
        <f>VLOOKUP($J17,Offense_2014[],2)</f>
        <v>39.700000000000003</v>
      </c>
      <c r="L17">
        <f>VLOOKUP($J17,Offense_2014[],3)</f>
        <v>90.14</v>
      </c>
      <c r="M17">
        <f>VLOOKUP($J17,Offense_2014[],4)</f>
        <v>70.42</v>
      </c>
      <c r="N17">
        <f>VLOOKUP($J17,Offense_2014[],5)</f>
        <v>19.72</v>
      </c>
      <c r="O17" s="1">
        <f>VLOOKUP($J17,Offense_2014[],6)</f>
        <v>2.1844444444444444E-2</v>
      </c>
      <c r="P17">
        <f>VLOOKUP($J17,Offense_2014[],7)</f>
        <v>24</v>
      </c>
      <c r="Q17">
        <v>2014</v>
      </c>
    </row>
    <row r="18" spans="1:17" x14ac:dyDescent="0.2">
      <c r="A18" s="7" t="s">
        <v>122</v>
      </c>
      <c r="B18" s="8">
        <v>37.1</v>
      </c>
      <c r="C18" s="7">
        <v>88.14</v>
      </c>
      <c r="D18" s="7">
        <v>71.19</v>
      </c>
      <c r="E18" s="8">
        <v>16.95</v>
      </c>
      <c r="F18" s="12">
        <v>1.9376736111111112E-2</v>
      </c>
      <c r="G18" s="7">
        <v>27</v>
      </c>
      <c r="I18">
        <v>17</v>
      </c>
      <c r="J18" t="s">
        <v>34</v>
      </c>
      <c r="K18">
        <f>VLOOKUP($J18,Offense_2014[],2)</f>
        <v>28.3</v>
      </c>
      <c r="L18">
        <f>VLOOKUP($J18,Offense_2014[],3)</f>
        <v>70.73</v>
      </c>
      <c r="M18">
        <f>VLOOKUP($J18,Offense_2014[],4)</f>
        <v>56.1</v>
      </c>
      <c r="N18">
        <f>VLOOKUP($J18,Offense_2014[],5)</f>
        <v>14.63</v>
      </c>
      <c r="O18" s="1">
        <f>VLOOKUP($J18,Offense_2014[],6)</f>
        <v>1.9608217592592594E-2</v>
      </c>
      <c r="P18">
        <f>VLOOKUP($J18,Offense_2014[],7)</f>
        <v>25</v>
      </c>
      <c r="Q18">
        <v>2014</v>
      </c>
    </row>
    <row r="19" spans="1:17" x14ac:dyDescent="0.2">
      <c r="A19" s="10" t="s">
        <v>72</v>
      </c>
      <c r="B19" s="11">
        <v>38.299999999999997</v>
      </c>
      <c r="C19" s="10">
        <v>88.24</v>
      </c>
      <c r="D19" s="10">
        <v>72.55</v>
      </c>
      <c r="E19" s="11">
        <v>15.69</v>
      </c>
      <c r="F19" s="13">
        <v>2.080925925925926E-2</v>
      </c>
      <c r="G19" s="10">
        <v>20</v>
      </c>
      <c r="I19">
        <v>18</v>
      </c>
      <c r="J19" t="s">
        <v>36</v>
      </c>
      <c r="K19">
        <f>VLOOKUP($J19,Offense_2014[],2)</f>
        <v>35.799999999999997</v>
      </c>
      <c r="L19">
        <f>VLOOKUP($J19,Offense_2014[],3)</f>
        <v>90.32</v>
      </c>
      <c r="M19">
        <f>VLOOKUP($J19,Offense_2014[],4)</f>
        <v>69.349999999999994</v>
      </c>
      <c r="N19">
        <f>VLOOKUP($J19,Offense_2014[],5)</f>
        <v>20.97</v>
      </c>
      <c r="O19" s="1">
        <f>VLOOKUP($J19,Offense_2014[],6)</f>
        <v>2.2730555555555556E-2</v>
      </c>
      <c r="P19">
        <f>VLOOKUP($J19,Offense_2014[],7)</f>
        <v>13</v>
      </c>
      <c r="Q19">
        <v>2014</v>
      </c>
    </row>
    <row r="20" spans="1:17" x14ac:dyDescent="0.2">
      <c r="A20" s="7" t="s">
        <v>54</v>
      </c>
      <c r="B20" s="8">
        <v>26.9</v>
      </c>
      <c r="C20" s="7">
        <v>80.77</v>
      </c>
      <c r="D20" s="7">
        <v>67.31</v>
      </c>
      <c r="E20" s="8">
        <v>13.46</v>
      </c>
      <c r="F20" s="12">
        <v>2.3203356481481478E-2</v>
      </c>
      <c r="G20" s="7">
        <v>27</v>
      </c>
      <c r="I20">
        <v>19</v>
      </c>
      <c r="J20" t="s">
        <v>5</v>
      </c>
      <c r="K20">
        <f>VLOOKUP($J20,Offense_2014[],2)</f>
        <v>34.5</v>
      </c>
      <c r="L20">
        <f>VLOOKUP($J20,Offense_2014[],3)</f>
        <v>80</v>
      </c>
      <c r="M20">
        <f>VLOOKUP($J20,Offense_2014[],4)</f>
        <v>55</v>
      </c>
      <c r="N20">
        <f>VLOOKUP($J20,Offense_2014[],5)</f>
        <v>25</v>
      </c>
      <c r="O20" s="1">
        <f>VLOOKUP($J20,Offense_2014[],6)</f>
        <v>1.8909606481481479E-2</v>
      </c>
      <c r="P20">
        <f>VLOOKUP($J20,Offense_2014[],7)</f>
        <v>18</v>
      </c>
      <c r="Q20">
        <v>2014</v>
      </c>
    </row>
    <row r="21" spans="1:17" x14ac:dyDescent="0.2">
      <c r="A21" s="10" t="s">
        <v>110</v>
      </c>
      <c r="B21" s="11">
        <v>34</v>
      </c>
      <c r="C21" s="10">
        <v>90.2</v>
      </c>
      <c r="D21" s="10">
        <v>66.67</v>
      </c>
      <c r="E21" s="11">
        <v>23.53</v>
      </c>
      <c r="F21" s="13">
        <v>1.9940393518518517E-2</v>
      </c>
      <c r="G21" s="10">
        <v>22</v>
      </c>
      <c r="I21">
        <v>20</v>
      </c>
      <c r="J21" t="s">
        <v>26</v>
      </c>
      <c r="K21">
        <f>VLOOKUP($J21,Offense_2014[],2)</f>
        <v>35.799999999999997</v>
      </c>
      <c r="L21">
        <f>VLOOKUP($J21,Offense_2014[],3)</f>
        <v>86.79</v>
      </c>
      <c r="M21">
        <f>VLOOKUP($J21,Offense_2014[],4)</f>
        <v>75.47</v>
      </c>
      <c r="N21">
        <f>VLOOKUP($J21,Offense_2014[],5)</f>
        <v>11.32</v>
      </c>
      <c r="O21" s="1">
        <f>VLOOKUP($J21,Offense_2014[],6)</f>
        <v>2.1229513888888888E-2</v>
      </c>
      <c r="P21">
        <f>VLOOKUP($J21,Offense_2014[],7)</f>
        <v>12</v>
      </c>
      <c r="Q21">
        <v>2014</v>
      </c>
    </row>
    <row r="22" spans="1:17" x14ac:dyDescent="0.2">
      <c r="A22" s="7" t="s">
        <v>24</v>
      </c>
      <c r="B22" s="8">
        <v>30.8</v>
      </c>
      <c r="C22" s="7">
        <v>73.08</v>
      </c>
      <c r="D22" s="7">
        <v>48.08</v>
      </c>
      <c r="E22" s="8">
        <v>25</v>
      </c>
      <c r="F22" s="12">
        <v>2.1797569444444446E-2</v>
      </c>
      <c r="G22" s="7">
        <v>18</v>
      </c>
      <c r="I22">
        <v>21</v>
      </c>
      <c r="J22" t="s">
        <v>57</v>
      </c>
      <c r="K22">
        <f>VLOOKUP($J22,Offense_2014[],2)</f>
        <v>31.3</v>
      </c>
      <c r="L22">
        <f>VLOOKUP($J22,Offense_2014[],3)</f>
        <v>84.44</v>
      </c>
      <c r="M22">
        <f>VLOOKUP($J22,Offense_2014[],4)</f>
        <v>57.78</v>
      </c>
      <c r="N22">
        <f>VLOOKUP($J22,Offense_2014[],5)</f>
        <v>26.67</v>
      </c>
      <c r="O22" s="1">
        <f>VLOOKUP($J22,Offense_2014[],6)</f>
        <v>2.0743402777777777E-2</v>
      </c>
      <c r="P22">
        <f>VLOOKUP($J22,Offense_2014[],7)</f>
        <v>16</v>
      </c>
      <c r="Q22">
        <v>2014</v>
      </c>
    </row>
    <row r="23" spans="1:17" x14ac:dyDescent="0.2">
      <c r="A23" s="10" t="s">
        <v>77</v>
      </c>
      <c r="B23" s="11">
        <v>28.5</v>
      </c>
      <c r="C23" s="10">
        <v>88.89</v>
      </c>
      <c r="D23" s="10">
        <v>64.44</v>
      </c>
      <c r="E23" s="11">
        <v>24.44</v>
      </c>
      <c r="F23" s="13">
        <v>2.262534722222222E-2</v>
      </c>
      <c r="G23" s="10">
        <v>21</v>
      </c>
      <c r="I23">
        <v>22</v>
      </c>
      <c r="J23" t="s">
        <v>19</v>
      </c>
      <c r="K23">
        <f>VLOOKUP($J23,Offense_2014[],2)</f>
        <v>35.5</v>
      </c>
      <c r="L23">
        <f>VLOOKUP($J23,Offense_2014[],3)</f>
        <v>87.93</v>
      </c>
      <c r="M23">
        <f>VLOOKUP($J23,Offense_2014[],4)</f>
        <v>65.52</v>
      </c>
      <c r="N23">
        <f>VLOOKUP($J23,Offense_2014[],5)</f>
        <v>22.41</v>
      </c>
      <c r="O23" s="1">
        <f>VLOOKUP($J23,Offense_2014[],6)</f>
        <v>2.0748726851851852E-2</v>
      </c>
      <c r="P23">
        <f>VLOOKUP($J23,Offense_2014[],7)</f>
        <v>20</v>
      </c>
      <c r="Q23">
        <v>2014</v>
      </c>
    </row>
    <row r="24" spans="1:17" x14ac:dyDescent="0.2">
      <c r="A24" s="7" t="s">
        <v>30</v>
      </c>
      <c r="B24" s="8">
        <v>33.9</v>
      </c>
      <c r="C24" s="7">
        <v>84</v>
      </c>
      <c r="D24" s="7">
        <v>72</v>
      </c>
      <c r="E24" s="8">
        <v>12</v>
      </c>
      <c r="F24" s="12">
        <v>2.0251967592592592E-2</v>
      </c>
      <c r="G24" s="7">
        <v>17</v>
      </c>
      <c r="I24">
        <v>23</v>
      </c>
      <c r="J24" t="s">
        <v>78</v>
      </c>
      <c r="K24">
        <f>VLOOKUP($J24,Offense_2014[],2)</f>
        <v>45.6</v>
      </c>
      <c r="L24">
        <f>VLOOKUP($J24,Offense_2014[],3)</f>
        <v>84.51</v>
      </c>
      <c r="M24">
        <f>VLOOKUP($J24,Offense_2014[],4)</f>
        <v>64.790000000000006</v>
      </c>
      <c r="N24">
        <f>VLOOKUP($J24,Offense_2014[],5)</f>
        <v>19.72</v>
      </c>
      <c r="O24" s="1">
        <f>VLOOKUP($J24,Offense_2014[],6)</f>
        <v>1.982638888888889E-2</v>
      </c>
      <c r="P24">
        <f>VLOOKUP($J24,Offense_2014[],7)</f>
        <v>24</v>
      </c>
      <c r="Q24">
        <v>2014</v>
      </c>
    </row>
    <row r="25" spans="1:17" x14ac:dyDescent="0.2">
      <c r="A25" s="10" t="s">
        <v>101</v>
      </c>
      <c r="B25" s="11">
        <v>15.5</v>
      </c>
      <c r="C25" s="10">
        <v>58.33</v>
      </c>
      <c r="D25" s="10">
        <v>41.67</v>
      </c>
      <c r="E25" s="11">
        <v>16.670000000000002</v>
      </c>
      <c r="F25" s="13">
        <v>1.9729976851851853E-2</v>
      </c>
      <c r="G25" s="10">
        <v>28</v>
      </c>
      <c r="I25">
        <v>24</v>
      </c>
      <c r="J25" t="s">
        <v>12</v>
      </c>
      <c r="K25">
        <f>VLOOKUP($J25,Offense_2014[],2)</f>
        <v>31.2</v>
      </c>
      <c r="L25">
        <f>VLOOKUP($J25,Offense_2014[],3)</f>
        <v>82.76</v>
      </c>
      <c r="M25">
        <f>VLOOKUP($J25,Offense_2014[],4)</f>
        <v>67.239999999999995</v>
      </c>
      <c r="N25">
        <f>VLOOKUP($J25,Offense_2014[],5)</f>
        <v>15.52</v>
      </c>
      <c r="O25" s="1">
        <f>VLOOKUP($J25,Offense_2014[],6)</f>
        <v>2.2588194444444445E-2</v>
      </c>
      <c r="P25">
        <f>VLOOKUP($J25,Offense_2014[],7)</f>
        <v>26</v>
      </c>
      <c r="Q25">
        <v>2014</v>
      </c>
    </row>
    <row r="26" spans="1:17" x14ac:dyDescent="0.2">
      <c r="A26" s="7" t="s">
        <v>85</v>
      </c>
      <c r="B26" s="8">
        <v>32.4</v>
      </c>
      <c r="C26" s="7">
        <v>87.5</v>
      </c>
      <c r="D26" s="7">
        <v>62.5</v>
      </c>
      <c r="E26" s="8">
        <v>25</v>
      </c>
      <c r="F26" s="12">
        <v>2.0217245370370372E-2</v>
      </c>
      <c r="G26" s="7">
        <v>15</v>
      </c>
      <c r="I26">
        <v>25</v>
      </c>
      <c r="J26" t="s">
        <v>1</v>
      </c>
      <c r="K26">
        <f>VLOOKUP($J26,Offense_2014[],2)</f>
        <v>36.200000000000003</v>
      </c>
      <c r="L26">
        <f>VLOOKUP($J26,Offense_2014[],3)</f>
        <v>93.33</v>
      </c>
      <c r="M26">
        <f>VLOOKUP($J26,Offense_2014[],4)</f>
        <v>68.33</v>
      </c>
      <c r="N26">
        <f>VLOOKUP($J26,Offense_2014[],5)</f>
        <v>25</v>
      </c>
      <c r="O26" s="1">
        <f>VLOOKUP($J26,Offense_2014[],6)</f>
        <v>2.0915277777777779E-2</v>
      </c>
      <c r="P26">
        <f>VLOOKUP($J26,Offense_2014[],7)</f>
        <v>20</v>
      </c>
      <c r="Q26">
        <v>2014</v>
      </c>
    </row>
    <row r="27" spans="1:17" x14ac:dyDescent="0.2">
      <c r="A27" s="10" t="s">
        <v>89</v>
      </c>
      <c r="B27" s="11">
        <v>35.799999999999997</v>
      </c>
      <c r="C27" s="10">
        <v>83.78</v>
      </c>
      <c r="D27" s="10">
        <v>66.22</v>
      </c>
      <c r="E27" s="11">
        <v>17.57</v>
      </c>
      <c r="F27" s="13">
        <v>2.0634837962962962E-2</v>
      </c>
      <c r="G27" s="10">
        <v>23</v>
      </c>
    </row>
    <row r="28" spans="1:17" x14ac:dyDescent="0.2">
      <c r="A28" s="7" t="s">
        <v>81</v>
      </c>
      <c r="B28" s="8">
        <v>15.2</v>
      </c>
      <c r="C28" s="7">
        <v>70.37</v>
      </c>
      <c r="D28" s="7">
        <v>51.85</v>
      </c>
      <c r="E28" s="8">
        <v>18.52</v>
      </c>
      <c r="F28" s="12">
        <v>1.8418171296296297E-2</v>
      </c>
      <c r="G28" s="7">
        <v>30</v>
      </c>
    </row>
    <row r="29" spans="1:17" x14ac:dyDescent="0.2">
      <c r="A29" s="10" t="s">
        <v>108</v>
      </c>
      <c r="B29" s="11">
        <v>30.3</v>
      </c>
      <c r="C29" s="10">
        <v>90.91</v>
      </c>
      <c r="D29" s="10">
        <v>59.09</v>
      </c>
      <c r="E29" s="11">
        <v>31.82</v>
      </c>
      <c r="F29" s="13">
        <v>2.0783217592592593E-2</v>
      </c>
      <c r="G29" s="10">
        <v>24</v>
      </c>
    </row>
    <row r="30" spans="1:17" x14ac:dyDescent="0.2">
      <c r="A30" s="7" t="s">
        <v>9</v>
      </c>
      <c r="B30" s="8">
        <v>24</v>
      </c>
      <c r="C30" s="7">
        <v>75</v>
      </c>
      <c r="D30" s="7">
        <v>52.27</v>
      </c>
      <c r="E30" s="8">
        <v>22.73</v>
      </c>
      <c r="F30" s="12">
        <v>2.0377083333333334E-2</v>
      </c>
      <c r="G30" s="7">
        <v>18</v>
      </c>
    </row>
    <row r="31" spans="1:17" x14ac:dyDescent="0.2">
      <c r="A31" s="10" t="s">
        <v>95</v>
      </c>
      <c r="B31" s="11">
        <v>23</v>
      </c>
      <c r="C31" s="10">
        <v>81.819999999999993</v>
      </c>
      <c r="D31" s="10">
        <v>48.48</v>
      </c>
      <c r="E31" s="11">
        <v>33.33</v>
      </c>
      <c r="F31" s="13">
        <v>2.1176736111111108E-2</v>
      </c>
      <c r="G31" s="10">
        <v>22</v>
      </c>
    </row>
    <row r="32" spans="1:17" x14ac:dyDescent="0.2">
      <c r="A32" s="7" t="s">
        <v>88</v>
      </c>
      <c r="B32" s="8">
        <v>33.700000000000003</v>
      </c>
      <c r="C32" s="7">
        <v>91.53</v>
      </c>
      <c r="D32" s="7">
        <v>59.32</v>
      </c>
      <c r="E32" s="8">
        <v>32.200000000000003</v>
      </c>
      <c r="F32" s="12">
        <v>2.01E-2</v>
      </c>
      <c r="G32" s="7">
        <v>32</v>
      </c>
    </row>
    <row r="33" spans="1:7" x14ac:dyDescent="0.2">
      <c r="A33" s="10" t="s">
        <v>73</v>
      </c>
      <c r="B33" s="11">
        <v>26.5</v>
      </c>
      <c r="C33" s="10">
        <v>74.55</v>
      </c>
      <c r="D33" s="10">
        <v>63.64</v>
      </c>
      <c r="E33" s="11">
        <v>10.91</v>
      </c>
      <c r="F33" s="13">
        <v>1.9941319444444442E-2</v>
      </c>
      <c r="G33" s="10">
        <v>27</v>
      </c>
    </row>
    <row r="34" spans="1:7" x14ac:dyDescent="0.2">
      <c r="A34" s="7" t="s">
        <v>22</v>
      </c>
      <c r="B34" s="8">
        <v>41.3</v>
      </c>
      <c r="C34" s="7">
        <v>85.07</v>
      </c>
      <c r="D34" s="7">
        <v>67.16</v>
      </c>
      <c r="E34" s="8">
        <v>17.91</v>
      </c>
      <c r="F34" s="12">
        <v>2.0326736111111108E-2</v>
      </c>
      <c r="G34" s="7">
        <v>13</v>
      </c>
    </row>
    <row r="35" spans="1:7" x14ac:dyDescent="0.2">
      <c r="A35" s="10" t="s">
        <v>109</v>
      </c>
      <c r="B35" s="11">
        <v>39.1</v>
      </c>
      <c r="C35" s="10">
        <v>88.14</v>
      </c>
      <c r="D35" s="10">
        <v>72.88</v>
      </c>
      <c r="E35" s="11">
        <v>15.25</v>
      </c>
      <c r="F35" s="13">
        <v>2.2410300925925927E-2</v>
      </c>
      <c r="G35" s="10">
        <v>12</v>
      </c>
    </row>
    <row r="36" spans="1:7" x14ac:dyDescent="0.2">
      <c r="A36" s="7" t="s">
        <v>114</v>
      </c>
      <c r="B36" s="8">
        <v>22.7</v>
      </c>
      <c r="C36" s="7">
        <v>82.35</v>
      </c>
      <c r="D36" s="7">
        <v>67.650000000000006</v>
      </c>
      <c r="E36" s="8">
        <v>14.71</v>
      </c>
      <c r="F36" s="12">
        <v>1.9698148148148149E-2</v>
      </c>
      <c r="G36" s="7">
        <v>30</v>
      </c>
    </row>
    <row r="37" spans="1:7" x14ac:dyDescent="0.2">
      <c r="A37" s="10" t="s">
        <v>71</v>
      </c>
      <c r="B37" s="11">
        <v>37.9</v>
      </c>
      <c r="C37" s="10">
        <v>80.819999999999993</v>
      </c>
      <c r="D37" s="10">
        <v>69.86</v>
      </c>
      <c r="E37" s="11">
        <v>10.96</v>
      </c>
      <c r="F37" s="13">
        <v>2.3720254629629633E-2</v>
      </c>
      <c r="G37" s="10">
        <v>18</v>
      </c>
    </row>
    <row r="38" spans="1:7" x14ac:dyDescent="0.2">
      <c r="A38" s="7" t="s">
        <v>105</v>
      </c>
      <c r="B38" s="8">
        <v>20.9</v>
      </c>
      <c r="C38" s="7">
        <v>82.98</v>
      </c>
      <c r="D38" s="7">
        <v>51.06</v>
      </c>
      <c r="E38" s="8">
        <v>31.91</v>
      </c>
      <c r="F38" s="12">
        <v>1.9992824074074073E-2</v>
      </c>
      <c r="G38" s="7">
        <v>27</v>
      </c>
    </row>
    <row r="39" spans="1:7" x14ac:dyDescent="0.2">
      <c r="A39" s="10" t="s">
        <v>67</v>
      </c>
      <c r="B39" s="11">
        <v>29.8</v>
      </c>
      <c r="C39" s="10">
        <v>75.44</v>
      </c>
      <c r="D39" s="10">
        <v>54.39</v>
      </c>
      <c r="E39" s="11">
        <v>21.05</v>
      </c>
      <c r="F39" s="13">
        <v>2.0576967592592595E-2</v>
      </c>
      <c r="G39" s="10">
        <v>22</v>
      </c>
    </row>
    <row r="40" spans="1:7" x14ac:dyDescent="0.2">
      <c r="A40" s="7" t="s">
        <v>115</v>
      </c>
      <c r="B40" s="8">
        <v>25</v>
      </c>
      <c r="C40" s="7">
        <v>72</v>
      </c>
      <c r="D40" s="7">
        <v>54</v>
      </c>
      <c r="E40" s="8">
        <v>18</v>
      </c>
      <c r="F40" s="12">
        <v>2.1749768518518519E-2</v>
      </c>
      <c r="G40" s="7">
        <v>28</v>
      </c>
    </row>
    <row r="41" spans="1:7" x14ac:dyDescent="0.2">
      <c r="A41" s="10" t="s">
        <v>125</v>
      </c>
      <c r="B41" s="11">
        <v>25.9</v>
      </c>
      <c r="C41" s="10">
        <v>74</v>
      </c>
      <c r="D41" s="10">
        <v>58</v>
      </c>
      <c r="E41" s="11">
        <v>16</v>
      </c>
      <c r="F41" s="13">
        <v>1.9245023148148147E-2</v>
      </c>
      <c r="G41" s="10">
        <v>22</v>
      </c>
    </row>
    <row r="42" spans="1:7" x14ac:dyDescent="0.2">
      <c r="A42" s="7" t="s">
        <v>76</v>
      </c>
      <c r="B42" s="8">
        <v>25.1</v>
      </c>
      <c r="C42" s="7">
        <v>82.35</v>
      </c>
      <c r="D42" s="7">
        <v>52.94</v>
      </c>
      <c r="E42" s="8">
        <v>29.41</v>
      </c>
      <c r="F42" s="12">
        <v>1.9672106481481481E-2</v>
      </c>
      <c r="G42" s="7">
        <v>19</v>
      </c>
    </row>
    <row r="43" spans="1:7" x14ac:dyDescent="0.2">
      <c r="A43" s="10" t="s">
        <v>68</v>
      </c>
      <c r="B43" s="11">
        <v>28.2</v>
      </c>
      <c r="C43" s="10">
        <v>78.569999999999993</v>
      </c>
      <c r="D43" s="10">
        <v>64.290000000000006</v>
      </c>
      <c r="E43" s="11">
        <v>14.29</v>
      </c>
      <c r="F43" s="13">
        <v>2.1828703703703701E-2</v>
      </c>
      <c r="G43" s="10">
        <v>22</v>
      </c>
    </row>
    <row r="44" spans="1:7" x14ac:dyDescent="0.2">
      <c r="A44" s="7" t="s">
        <v>52</v>
      </c>
      <c r="B44" s="8">
        <v>23.2</v>
      </c>
      <c r="C44" s="7">
        <v>81.400000000000006</v>
      </c>
      <c r="D44" s="7">
        <v>60.47</v>
      </c>
      <c r="E44" s="8">
        <v>20.93</v>
      </c>
      <c r="F44" s="12">
        <v>1.9800347222222223E-2</v>
      </c>
      <c r="G44" s="7">
        <v>16</v>
      </c>
    </row>
    <row r="45" spans="1:7" x14ac:dyDescent="0.2">
      <c r="A45" s="10" t="s">
        <v>118</v>
      </c>
      <c r="B45" s="11">
        <v>17.8</v>
      </c>
      <c r="C45" s="10">
        <v>77.42</v>
      </c>
      <c r="D45" s="10">
        <v>51.61</v>
      </c>
      <c r="E45" s="11">
        <v>25.81</v>
      </c>
      <c r="F45" s="13">
        <v>2.1017592592592591E-2</v>
      </c>
      <c r="G45" s="10">
        <v>18</v>
      </c>
    </row>
    <row r="46" spans="1:7" x14ac:dyDescent="0.2">
      <c r="A46" s="7" t="s">
        <v>36</v>
      </c>
      <c r="B46" s="8">
        <v>35.799999999999997</v>
      </c>
      <c r="C46" s="7">
        <v>90.32</v>
      </c>
      <c r="D46" s="7">
        <v>69.349999999999994</v>
      </c>
      <c r="E46" s="8">
        <v>20.97</v>
      </c>
      <c r="F46" s="12">
        <v>2.2730555555555556E-2</v>
      </c>
      <c r="G46" s="7">
        <v>13</v>
      </c>
    </row>
    <row r="47" spans="1:7" x14ac:dyDescent="0.2">
      <c r="A47" s="10" t="s">
        <v>127</v>
      </c>
      <c r="B47" s="11">
        <v>16.399999999999999</v>
      </c>
      <c r="C47" s="10">
        <v>71.88</v>
      </c>
      <c r="D47" s="10">
        <v>46.88</v>
      </c>
      <c r="E47" s="11">
        <v>25</v>
      </c>
      <c r="F47" s="13">
        <v>2.0174652777777777E-2</v>
      </c>
      <c r="G47" s="10">
        <v>21</v>
      </c>
    </row>
    <row r="48" spans="1:7" x14ac:dyDescent="0.2">
      <c r="A48" s="7" t="s">
        <v>86</v>
      </c>
      <c r="B48" s="8">
        <v>29.2</v>
      </c>
      <c r="C48" s="7">
        <v>87.18</v>
      </c>
      <c r="D48" s="7">
        <v>51.28</v>
      </c>
      <c r="E48" s="8">
        <v>35.9</v>
      </c>
      <c r="F48" s="12">
        <v>1.991226851851852E-2</v>
      </c>
      <c r="G48" s="7">
        <v>15</v>
      </c>
    </row>
    <row r="49" spans="1:7" x14ac:dyDescent="0.2">
      <c r="A49" s="10" t="s">
        <v>65</v>
      </c>
      <c r="B49" s="11">
        <v>37.4</v>
      </c>
      <c r="C49" s="10">
        <v>89.09</v>
      </c>
      <c r="D49" s="10">
        <v>72.73</v>
      </c>
      <c r="E49" s="11">
        <v>16.36</v>
      </c>
      <c r="F49" s="13">
        <v>2.0607638888888887E-2</v>
      </c>
      <c r="G49" s="10">
        <v>26</v>
      </c>
    </row>
    <row r="50" spans="1:7" x14ac:dyDescent="0.2">
      <c r="A50" s="7" t="s">
        <v>58</v>
      </c>
      <c r="B50" s="8">
        <v>29.5</v>
      </c>
      <c r="C50" s="7">
        <v>91.23</v>
      </c>
      <c r="D50" s="7">
        <v>63.16</v>
      </c>
      <c r="E50" s="8">
        <v>28.07</v>
      </c>
      <c r="F50" s="12">
        <v>2.2024537037037037E-2</v>
      </c>
      <c r="G50" s="7">
        <v>14</v>
      </c>
    </row>
    <row r="51" spans="1:7" x14ac:dyDescent="0.2">
      <c r="A51" s="10" t="s">
        <v>21</v>
      </c>
      <c r="B51" s="11">
        <v>20.100000000000001</v>
      </c>
      <c r="C51" s="10">
        <v>85.29</v>
      </c>
      <c r="D51" s="10">
        <v>44.12</v>
      </c>
      <c r="E51" s="11">
        <v>41.18</v>
      </c>
      <c r="F51" s="13">
        <v>2.0748495370370372E-2</v>
      </c>
      <c r="G51" s="10">
        <v>17</v>
      </c>
    </row>
    <row r="52" spans="1:7" x14ac:dyDescent="0.2">
      <c r="A52" s="7" t="s">
        <v>12</v>
      </c>
      <c r="B52" s="8">
        <v>31.2</v>
      </c>
      <c r="C52" s="7">
        <v>82.76</v>
      </c>
      <c r="D52" s="7">
        <v>67.239999999999995</v>
      </c>
      <c r="E52" s="8">
        <v>15.52</v>
      </c>
      <c r="F52" s="12">
        <v>2.2588194444444445E-2</v>
      </c>
      <c r="G52" s="7">
        <v>26</v>
      </c>
    </row>
    <row r="53" spans="1:7" x14ac:dyDescent="0.2">
      <c r="A53" s="10" t="s">
        <v>70</v>
      </c>
      <c r="B53" s="11">
        <v>27.6</v>
      </c>
      <c r="C53" s="10">
        <v>78.72</v>
      </c>
      <c r="D53" s="10">
        <v>55.32</v>
      </c>
      <c r="E53" s="11">
        <v>23.4</v>
      </c>
      <c r="F53" s="13">
        <v>2.3011921296296298E-2</v>
      </c>
      <c r="G53" s="10">
        <v>17</v>
      </c>
    </row>
    <row r="54" spans="1:7" x14ac:dyDescent="0.2">
      <c r="A54" s="7" t="s">
        <v>78</v>
      </c>
      <c r="B54" s="8">
        <v>45.6</v>
      </c>
      <c r="C54" s="7">
        <v>84.51</v>
      </c>
      <c r="D54" s="7">
        <v>64.790000000000006</v>
      </c>
      <c r="E54" s="8">
        <v>19.72</v>
      </c>
      <c r="F54" s="12">
        <v>1.982638888888889E-2</v>
      </c>
      <c r="G54" s="7">
        <v>24</v>
      </c>
    </row>
    <row r="55" spans="1:7" x14ac:dyDescent="0.2">
      <c r="A55" s="10" t="s">
        <v>97</v>
      </c>
      <c r="B55" s="11">
        <v>28.5</v>
      </c>
      <c r="C55" s="10">
        <v>91.43</v>
      </c>
      <c r="D55" s="10">
        <v>68.569999999999993</v>
      </c>
      <c r="E55" s="11">
        <v>22.86</v>
      </c>
      <c r="F55" s="13">
        <v>1.8705439814814814E-2</v>
      </c>
      <c r="G55" s="10">
        <v>22</v>
      </c>
    </row>
    <row r="56" spans="1:7" x14ac:dyDescent="0.2">
      <c r="A56" s="7" t="s">
        <v>60</v>
      </c>
      <c r="B56" s="8">
        <v>27.3</v>
      </c>
      <c r="C56" s="7">
        <v>70.37</v>
      </c>
      <c r="D56" s="7">
        <v>59.26</v>
      </c>
      <c r="E56" s="8">
        <v>11.11</v>
      </c>
      <c r="F56" s="12">
        <v>1.8933217592592592E-2</v>
      </c>
      <c r="G56" s="7">
        <v>23</v>
      </c>
    </row>
    <row r="57" spans="1:7" x14ac:dyDescent="0.2">
      <c r="A57" s="10" t="s">
        <v>1</v>
      </c>
      <c r="B57" s="11">
        <v>36.200000000000003</v>
      </c>
      <c r="C57" s="10">
        <v>93.33</v>
      </c>
      <c r="D57" s="10">
        <v>68.33</v>
      </c>
      <c r="E57" s="11">
        <v>25</v>
      </c>
      <c r="F57" s="13">
        <v>2.0915277777777779E-2</v>
      </c>
      <c r="G57" s="10">
        <v>20</v>
      </c>
    </row>
    <row r="58" spans="1:7" x14ac:dyDescent="0.2">
      <c r="A58" s="7" t="s">
        <v>39</v>
      </c>
      <c r="B58" s="8">
        <v>29.2</v>
      </c>
      <c r="C58" s="7">
        <v>78.72</v>
      </c>
      <c r="D58" s="7">
        <v>51.06</v>
      </c>
      <c r="E58" s="8">
        <v>27.66</v>
      </c>
      <c r="F58" s="12">
        <v>2.0330324074074074E-2</v>
      </c>
      <c r="G58" s="7">
        <v>24</v>
      </c>
    </row>
    <row r="59" spans="1:7" x14ac:dyDescent="0.2">
      <c r="A59" s="10" t="s">
        <v>93</v>
      </c>
      <c r="B59" s="11">
        <v>22.3</v>
      </c>
      <c r="C59" s="10">
        <v>72.5</v>
      </c>
      <c r="D59" s="10">
        <v>60</v>
      </c>
      <c r="E59" s="11">
        <v>12.5</v>
      </c>
      <c r="F59" s="13">
        <v>2.0221874999999997E-2</v>
      </c>
      <c r="G59" s="10">
        <v>20</v>
      </c>
    </row>
    <row r="60" spans="1:7" x14ac:dyDescent="0.2">
      <c r="A60" s="7" t="s">
        <v>84</v>
      </c>
      <c r="B60" s="8">
        <v>20.9</v>
      </c>
      <c r="C60" s="7">
        <v>89.19</v>
      </c>
      <c r="D60" s="7">
        <v>64.86</v>
      </c>
      <c r="E60" s="8">
        <v>24.32</v>
      </c>
      <c r="F60" s="12">
        <v>2.1437152777777777E-2</v>
      </c>
      <c r="G60" s="7">
        <v>26</v>
      </c>
    </row>
    <row r="61" spans="1:7" x14ac:dyDescent="0.2">
      <c r="A61" s="10" t="s">
        <v>104</v>
      </c>
      <c r="B61" s="11">
        <v>43</v>
      </c>
      <c r="C61" s="10">
        <v>86.76</v>
      </c>
      <c r="D61" s="10">
        <v>72.06</v>
      </c>
      <c r="E61" s="11">
        <v>14.71</v>
      </c>
      <c r="F61" s="13">
        <v>2.4550347222222223E-2</v>
      </c>
      <c r="G61" s="10">
        <v>15</v>
      </c>
    </row>
    <row r="62" spans="1:7" x14ac:dyDescent="0.2">
      <c r="A62" s="7" t="s">
        <v>91</v>
      </c>
      <c r="B62" s="8">
        <v>31.6</v>
      </c>
      <c r="C62" s="7">
        <v>82.98</v>
      </c>
      <c r="D62" s="7">
        <v>65.959999999999994</v>
      </c>
      <c r="E62" s="8">
        <v>17.02</v>
      </c>
      <c r="F62" s="12">
        <v>1.9976851851851853E-2</v>
      </c>
      <c r="G62" s="7">
        <v>24</v>
      </c>
    </row>
    <row r="63" spans="1:7" x14ac:dyDescent="0.2">
      <c r="A63" s="10" t="s">
        <v>107</v>
      </c>
      <c r="B63" s="11">
        <v>28.4</v>
      </c>
      <c r="C63" s="10">
        <v>87.5</v>
      </c>
      <c r="D63" s="10">
        <v>70.83</v>
      </c>
      <c r="E63" s="11">
        <v>16.670000000000002</v>
      </c>
      <c r="F63" s="13">
        <v>2.1818055555555552E-2</v>
      </c>
      <c r="G63" s="10">
        <v>20</v>
      </c>
    </row>
    <row r="64" spans="1:7" x14ac:dyDescent="0.2">
      <c r="A64" s="7" t="s">
        <v>34</v>
      </c>
      <c r="B64" s="8">
        <v>28.3</v>
      </c>
      <c r="C64" s="7">
        <v>70.73</v>
      </c>
      <c r="D64" s="7">
        <v>56.1</v>
      </c>
      <c r="E64" s="8">
        <v>14.63</v>
      </c>
      <c r="F64" s="12">
        <v>1.9608217592592594E-2</v>
      </c>
      <c r="G64" s="7">
        <v>25</v>
      </c>
    </row>
    <row r="65" spans="1:7" x14ac:dyDescent="0.2">
      <c r="A65" s="10" t="s">
        <v>35</v>
      </c>
      <c r="B65" s="11">
        <v>36.9</v>
      </c>
      <c r="C65" s="10">
        <v>81.97</v>
      </c>
      <c r="D65" s="10">
        <v>63.93</v>
      </c>
      <c r="E65" s="11">
        <v>18.03</v>
      </c>
      <c r="F65" s="13">
        <v>2.0571527777777779E-2</v>
      </c>
      <c r="G65" s="10">
        <v>23</v>
      </c>
    </row>
    <row r="66" spans="1:7" x14ac:dyDescent="0.2">
      <c r="A66" s="7" t="s">
        <v>10</v>
      </c>
      <c r="B66" s="8">
        <v>27.8</v>
      </c>
      <c r="C66" s="7">
        <v>93.33</v>
      </c>
      <c r="D66" s="7">
        <v>62.22</v>
      </c>
      <c r="E66" s="8">
        <v>31.11</v>
      </c>
      <c r="F66" s="12">
        <v>2.0136458333333333E-2</v>
      </c>
      <c r="G66" s="7">
        <v>16</v>
      </c>
    </row>
    <row r="67" spans="1:7" x14ac:dyDescent="0.2">
      <c r="A67" s="10" t="s">
        <v>49</v>
      </c>
      <c r="B67" s="11">
        <v>31.8</v>
      </c>
      <c r="C67" s="10">
        <v>87.27</v>
      </c>
      <c r="D67" s="10">
        <v>74.55</v>
      </c>
      <c r="E67" s="11">
        <v>12.73</v>
      </c>
      <c r="F67" s="13">
        <v>2.099178240740741E-2</v>
      </c>
      <c r="G67" s="10">
        <v>22</v>
      </c>
    </row>
    <row r="68" spans="1:7" x14ac:dyDescent="0.2">
      <c r="A68" s="7" t="s">
        <v>83</v>
      </c>
      <c r="B68" s="8">
        <v>37.799999999999997</v>
      </c>
      <c r="C68" s="7">
        <v>88.33</v>
      </c>
      <c r="D68" s="7">
        <v>70</v>
      </c>
      <c r="E68" s="8">
        <v>18.329999999999998</v>
      </c>
      <c r="F68" s="12">
        <v>2.1023842592592591E-2</v>
      </c>
      <c r="G68" s="7">
        <v>25</v>
      </c>
    </row>
    <row r="69" spans="1:7" x14ac:dyDescent="0.2">
      <c r="A69" s="10" t="s">
        <v>69</v>
      </c>
      <c r="B69" s="11">
        <v>29.2</v>
      </c>
      <c r="C69" s="10">
        <v>92.45</v>
      </c>
      <c r="D69" s="10">
        <v>67.92</v>
      </c>
      <c r="E69" s="11">
        <v>24.53</v>
      </c>
      <c r="F69" s="13">
        <v>2.1547337962962963E-2</v>
      </c>
      <c r="G69" s="10">
        <v>16</v>
      </c>
    </row>
    <row r="70" spans="1:7" x14ac:dyDescent="0.2">
      <c r="A70" s="7" t="s">
        <v>111</v>
      </c>
      <c r="B70" s="8">
        <v>27.7</v>
      </c>
      <c r="C70" s="7">
        <v>83.33</v>
      </c>
      <c r="D70" s="7">
        <v>70</v>
      </c>
      <c r="E70" s="8">
        <v>13.33</v>
      </c>
      <c r="F70" s="12">
        <v>2.0966435185185182E-2</v>
      </c>
      <c r="G70" s="7">
        <v>18</v>
      </c>
    </row>
    <row r="71" spans="1:7" x14ac:dyDescent="0.2">
      <c r="A71" s="10" t="s">
        <v>50</v>
      </c>
      <c r="B71" s="11">
        <v>24.5</v>
      </c>
      <c r="C71" s="10">
        <v>82.86</v>
      </c>
      <c r="D71" s="10">
        <v>62.86</v>
      </c>
      <c r="E71" s="11">
        <v>20</v>
      </c>
      <c r="F71" s="13">
        <v>1.9142592592592593E-2</v>
      </c>
      <c r="G71" s="10">
        <v>34</v>
      </c>
    </row>
    <row r="72" spans="1:7" x14ac:dyDescent="0.2">
      <c r="A72" s="7" t="s">
        <v>82</v>
      </c>
      <c r="B72" s="8">
        <v>33.200000000000003</v>
      </c>
      <c r="C72" s="7">
        <v>83.64</v>
      </c>
      <c r="D72" s="7">
        <v>72.73</v>
      </c>
      <c r="E72" s="8">
        <v>10.91</v>
      </c>
      <c r="F72" s="12">
        <v>1.7689583333333331E-2</v>
      </c>
      <c r="G72" s="7">
        <v>23</v>
      </c>
    </row>
    <row r="73" spans="1:7" x14ac:dyDescent="0.2">
      <c r="A73" s="10" t="s">
        <v>46</v>
      </c>
      <c r="B73" s="11">
        <v>30.2</v>
      </c>
      <c r="C73" s="10">
        <v>86.54</v>
      </c>
      <c r="D73" s="10">
        <v>73.08</v>
      </c>
      <c r="E73" s="11">
        <v>13.46</v>
      </c>
      <c r="F73" s="13">
        <v>2.0479861111111112E-2</v>
      </c>
      <c r="G73" s="10">
        <v>15</v>
      </c>
    </row>
    <row r="74" spans="1:7" x14ac:dyDescent="0.2">
      <c r="A74" s="7" t="s">
        <v>16</v>
      </c>
      <c r="B74" s="8">
        <v>27.2</v>
      </c>
      <c r="C74" s="7">
        <v>94.29</v>
      </c>
      <c r="D74" s="7">
        <v>65.709999999999994</v>
      </c>
      <c r="E74" s="8">
        <v>28.57</v>
      </c>
      <c r="F74" s="12">
        <v>1.9892939814814815E-2</v>
      </c>
      <c r="G74" s="7">
        <v>22</v>
      </c>
    </row>
    <row r="75" spans="1:7" x14ac:dyDescent="0.2">
      <c r="A75" s="10" t="s">
        <v>51</v>
      </c>
      <c r="B75" s="11">
        <v>31.5</v>
      </c>
      <c r="C75" s="10">
        <v>82.35</v>
      </c>
      <c r="D75" s="10">
        <v>61.76</v>
      </c>
      <c r="E75" s="11">
        <v>20.59</v>
      </c>
      <c r="F75" s="13">
        <v>1.9950347222222223E-2</v>
      </c>
      <c r="G75" s="10">
        <v>12</v>
      </c>
    </row>
    <row r="76" spans="1:7" x14ac:dyDescent="0.2">
      <c r="A76" s="7" t="s">
        <v>55</v>
      </c>
      <c r="B76" s="8">
        <v>23</v>
      </c>
      <c r="C76" s="7">
        <v>81.400000000000006</v>
      </c>
      <c r="D76" s="7">
        <v>55.81</v>
      </c>
      <c r="E76" s="8">
        <v>25.58</v>
      </c>
      <c r="F76" s="12">
        <v>2.0443634259259259E-2</v>
      </c>
      <c r="G76" s="7">
        <v>23</v>
      </c>
    </row>
    <row r="77" spans="1:7" x14ac:dyDescent="0.2">
      <c r="A77" s="10" t="s">
        <v>23</v>
      </c>
      <c r="B77" s="11">
        <v>32.799999999999997</v>
      </c>
      <c r="C77" s="10">
        <v>80.650000000000006</v>
      </c>
      <c r="D77" s="10">
        <v>64.52</v>
      </c>
      <c r="E77" s="11">
        <v>16.13</v>
      </c>
      <c r="F77" s="13">
        <v>2.0731828703703704E-2</v>
      </c>
      <c r="G77" s="10">
        <v>26</v>
      </c>
    </row>
    <row r="78" spans="1:7" x14ac:dyDescent="0.2">
      <c r="A78" s="7" t="s">
        <v>13</v>
      </c>
      <c r="B78" s="8">
        <v>20.5</v>
      </c>
      <c r="C78" s="7">
        <v>83.33</v>
      </c>
      <c r="D78" s="7">
        <v>54.76</v>
      </c>
      <c r="E78" s="8">
        <v>28.57</v>
      </c>
      <c r="F78" s="12">
        <v>2.0695370370370367E-2</v>
      </c>
      <c r="G78" s="7">
        <v>23</v>
      </c>
    </row>
    <row r="79" spans="1:7" x14ac:dyDescent="0.2">
      <c r="A79" s="10" t="s">
        <v>4</v>
      </c>
      <c r="B79" s="11">
        <v>44.8</v>
      </c>
      <c r="C79" s="10">
        <v>85.14</v>
      </c>
      <c r="D79" s="10">
        <v>71.62</v>
      </c>
      <c r="E79" s="11">
        <v>13.51</v>
      </c>
      <c r="F79" s="13">
        <v>2.1878124999999998E-2</v>
      </c>
      <c r="G79" s="10">
        <v>26</v>
      </c>
    </row>
    <row r="80" spans="1:7" x14ac:dyDescent="0.2">
      <c r="A80" s="7" t="s">
        <v>3</v>
      </c>
      <c r="B80" s="8">
        <v>36.4</v>
      </c>
      <c r="C80" s="7">
        <v>82.76</v>
      </c>
      <c r="D80" s="7">
        <v>72.41</v>
      </c>
      <c r="E80" s="8">
        <v>10.34</v>
      </c>
      <c r="F80" s="12">
        <v>2.1063888888888892E-2</v>
      </c>
      <c r="G80" s="7">
        <v>24</v>
      </c>
    </row>
    <row r="81" spans="1:7" x14ac:dyDescent="0.2">
      <c r="A81" s="10" t="s">
        <v>2</v>
      </c>
      <c r="B81" s="11">
        <v>27.6</v>
      </c>
      <c r="C81" s="10">
        <v>90.48</v>
      </c>
      <c r="D81" s="10">
        <v>50</v>
      </c>
      <c r="E81" s="11">
        <v>40.479999999999997</v>
      </c>
      <c r="F81" s="13">
        <v>1.9440046296296296E-2</v>
      </c>
      <c r="G81" s="10">
        <v>22</v>
      </c>
    </row>
    <row r="82" spans="1:7" x14ac:dyDescent="0.2">
      <c r="A82" s="7" t="s">
        <v>113</v>
      </c>
      <c r="B82" s="8">
        <v>32.700000000000003</v>
      </c>
      <c r="C82" s="7">
        <v>83.33</v>
      </c>
      <c r="D82" s="7">
        <v>72.92</v>
      </c>
      <c r="E82" s="8">
        <v>10.42</v>
      </c>
      <c r="F82" s="12">
        <v>1.9491666666666668E-2</v>
      </c>
      <c r="G82" s="7">
        <v>20</v>
      </c>
    </row>
    <row r="83" spans="1:7" x14ac:dyDescent="0.2">
      <c r="A83" s="10" t="s">
        <v>18</v>
      </c>
      <c r="B83" s="11">
        <v>45.4</v>
      </c>
      <c r="C83" s="10">
        <v>86.25</v>
      </c>
      <c r="D83" s="10">
        <v>65</v>
      </c>
      <c r="E83" s="11">
        <v>21.25</v>
      </c>
      <c r="F83" s="13">
        <v>1.8622685185185183E-2</v>
      </c>
      <c r="G83" s="10">
        <v>11</v>
      </c>
    </row>
    <row r="84" spans="1:7" x14ac:dyDescent="0.2">
      <c r="A84" s="7" t="s">
        <v>112</v>
      </c>
      <c r="B84" s="8">
        <v>25.7</v>
      </c>
      <c r="C84" s="7">
        <v>79.25</v>
      </c>
      <c r="D84" s="7">
        <v>50.94</v>
      </c>
      <c r="E84" s="8">
        <v>28.3</v>
      </c>
      <c r="F84" s="12">
        <v>2.2122916666666669E-2</v>
      </c>
      <c r="G84" s="7">
        <v>14</v>
      </c>
    </row>
    <row r="85" spans="1:7" x14ac:dyDescent="0.2">
      <c r="A85" s="10" t="s">
        <v>6</v>
      </c>
      <c r="B85" s="11">
        <v>20.6</v>
      </c>
      <c r="C85" s="10">
        <v>82.5</v>
      </c>
      <c r="D85" s="10">
        <v>42.5</v>
      </c>
      <c r="E85" s="11">
        <v>40</v>
      </c>
      <c r="F85" s="13">
        <v>2.1707638888888891E-2</v>
      </c>
      <c r="G85" s="10">
        <v>26</v>
      </c>
    </row>
    <row r="86" spans="1:7" x14ac:dyDescent="0.2">
      <c r="A86" s="7" t="s">
        <v>99</v>
      </c>
      <c r="B86" s="8">
        <v>31.8</v>
      </c>
      <c r="C86" s="7">
        <v>89.83</v>
      </c>
      <c r="D86" s="7">
        <v>74.58</v>
      </c>
      <c r="E86" s="8">
        <v>15.25</v>
      </c>
      <c r="F86" s="12">
        <v>2.3484722222222223E-2</v>
      </c>
      <c r="G86" s="7">
        <v>19</v>
      </c>
    </row>
    <row r="87" spans="1:7" x14ac:dyDescent="0.2">
      <c r="A87" s="10" t="s">
        <v>96</v>
      </c>
      <c r="B87" s="11">
        <v>23.8</v>
      </c>
      <c r="C87" s="10">
        <v>83.78</v>
      </c>
      <c r="D87" s="10">
        <v>56.76</v>
      </c>
      <c r="E87" s="11">
        <v>27.03</v>
      </c>
      <c r="F87" s="13">
        <v>2.008009259259259E-2</v>
      </c>
      <c r="G87" s="10">
        <v>24</v>
      </c>
    </row>
    <row r="88" spans="1:7" x14ac:dyDescent="0.2">
      <c r="A88" s="7" t="s">
        <v>123</v>
      </c>
      <c r="B88" s="8">
        <v>28.8</v>
      </c>
      <c r="C88" s="7">
        <v>91.67</v>
      </c>
      <c r="D88" s="7">
        <v>66.67</v>
      </c>
      <c r="E88" s="8">
        <v>25</v>
      </c>
      <c r="F88" s="12">
        <v>2.3334259259259263E-2</v>
      </c>
      <c r="G88" s="7">
        <v>12</v>
      </c>
    </row>
    <row r="89" spans="1:7" x14ac:dyDescent="0.2">
      <c r="A89" s="10" t="s">
        <v>119</v>
      </c>
      <c r="B89" s="11">
        <v>26.7</v>
      </c>
      <c r="C89" s="10">
        <v>90.24</v>
      </c>
      <c r="D89" s="10">
        <v>60.98</v>
      </c>
      <c r="E89" s="11">
        <v>29.27</v>
      </c>
      <c r="F89" s="13">
        <v>2.1026504629629631E-2</v>
      </c>
      <c r="G89" s="10">
        <v>20</v>
      </c>
    </row>
    <row r="90" spans="1:7" x14ac:dyDescent="0.2">
      <c r="A90" s="7" t="s">
        <v>48</v>
      </c>
      <c r="B90" s="8">
        <v>25</v>
      </c>
      <c r="C90" s="7">
        <v>77.08</v>
      </c>
      <c r="D90" s="7">
        <v>47.92</v>
      </c>
      <c r="E90" s="8">
        <v>29.17</v>
      </c>
      <c r="F90" s="12">
        <v>2.1749421296296298E-2</v>
      </c>
      <c r="G90" s="7">
        <v>22</v>
      </c>
    </row>
    <row r="91" spans="1:7" x14ac:dyDescent="0.2">
      <c r="A91" s="10" t="s">
        <v>124</v>
      </c>
      <c r="B91" s="11">
        <v>19.3</v>
      </c>
      <c r="C91" s="10">
        <v>66.67</v>
      </c>
      <c r="D91" s="10">
        <v>43.59</v>
      </c>
      <c r="E91" s="11">
        <v>23.08</v>
      </c>
      <c r="F91" s="13">
        <v>2.1816203703703702E-2</v>
      </c>
      <c r="G91" s="10">
        <v>26</v>
      </c>
    </row>
    <row r="92" spans="1:7" x14ac:dyDescent="0.2">
      <c r="A92" s="7" t="s">
        <v>7</v>
      </c>
      <c r="B92" s="8">
        <v>11.1</v>
      </c>
      <c r="C92" s="7">
        <v>68.97</v>
      </c>
      <c r="D92" s="7">
        <v>41.38</v>
      </c>
      <c r="E92" s="8">
        <v>27.59</v>
      </c>
      <c r="F92" s="12">
        <v>2.003275462962963E-2</v>
      </c>
      <c r="G92" s="7">
        <v>30</v>
      </c>
    </row>
    <row r="93" spans="1:7" x14ac:dyDescent="0.2">
      <c r="A93" s="10" t="s">
        <v>116</v>
      </c>
      <c r="B93" s="11">
        <v>22.5</v>
      </c>
      <c r="C93" s="10">
        <v>78.05</v>
      </c>
      <c r="D93" s="10">
        <v>51.22</v>
      </c>
      <c r="E93" s="11">
        <v>26.83</v>
      </c>
      <c r="F93" s="13">
        <v>2.1079976851851853E-2</v>
      </c>
      <c r="G93" s="10">
        <v>28</v>
      </c>
    </row>
    <row r="94" spans="1:7" x14ac:dyDescent="0.2">
      <c r="A94" s="7" t="s">
        <v>98</v>
      </c>
      <c r="B94" s="8">
        <v>32.6</v>
      </c>
      <c r="C94" s="7">
        <v>86.54</v>
      </c>
      <c r="D94" s="7">
        <v>63.46</v>
      </c>
      <c r="E94" s="8">
        <v>23.08</v>
      </c>
      <c r="F94" s="12">
        <v>2.140138888888889E-2</v>
      </c>
      <c r="G94" s="7">
        <v>21</v>
      </c>
    </row>
    <row r="95" spans="1:7" x14ac:dyDescent="0.2">
      <c r="A95" s="10" t="s">
        <v>15</v>
      </c>
      <c r="B95" s="11">
        <v>17.2</v>
      </c>
      <c r="C95" s="10">
        <v>70.37</v>
      </c>
      <c r="D95" s="10">
        <v>33.33</v>
      </c>
      <c r="E95" s="11">
        <v>37.04</v>
      </c>
      <c r="F95" s="13">
        <v>1.9688425925925925E-2</v>
      </c>
      <c r="G95" s="10">
        <v>20</v>
      </c>
    </row>
    <row r="96" spans="1:7" x14ac:dyDescent="0.2">
      <c r="A96" s="7" t="s">
        <v>47</v>
      </c>
      <c r="B96" s="8">
        <v>19</v>
      </c>
      <c r="C96" s="7">
        <v>76.92</v>
      </c>
      <c r="D96" s="7">
        <v>41.03</v>
      </c>
      <c r="E96" s="8">
        <v>35.9</v>
      </c>
      <c r="F96" s="12">
        <v>2.0429166666666668E-2</v>
      </c>
      <c r="G96" s="7">
        <v>26</v>
      </c>
    </row>
    <row r="97" spans="1:7" x14ac:dyDescent="0.2">
      <c r="A97" s="10" t="s">
        <v>37</v>
      </c>
      <c r="B97" s="11">
        <v>27.2</v>
      </c>
      <c r="C97" s="10">
        <v>73.680000000000007</v>
      </c>
      <c r="D97" s="10">
        <v>54.39</v>
      </c>
      <c r="E97" s="11">
        <v>19.3</v>
      </c>
      <c r="F97" s="13">
        <v>2.2370023148148149E-2</v>
      </c>
      <c r="G97" s="10">
        <v>21</v>
      </c>
    </row>
    <row r="98" spans="1:7" x14ac:dyDescent="0.2">
      <c r="A98" s="7" t="s">
        <v>75</v>
      </c>
      <c r="B98" s="8">
        <v>17.100000000000001</v>
      </c>
      <c r="C98" s="7">
        <v>80</v>
      </c>
      <c r="D98" s="7">
        <v>40</v>
      </c>
      <c r="E98" s="8">
        <v>40</v>
      </c>
      <c r="F98" s="12">
        <v>1.853101851851852E-2</v>
      </c>
      <c r="G98" s="7">
        <v>21</v>
      </c>
    </row>
    <row r="99" spans="1:7" x14ac:dyDescent="0.2">
      <c r="A99" s="10" t="s">
        <v>27</v>
      </c>
      <c r="B99" s="11">
        <v>46.5</v>
      </c>
      <c r="C99" s="10">
        <v>86.15</v>
      </c>
      <c r="D99" s="10">
        <v>61.54</v>
      </c>
      <c r="E99" s="11">
        <v>24.62</v>
      </c>
      <c r="F99" s="13">
        <v>2.1265972222222221E-2</v>
      </c>
      <c r="G99" s="10">
        <v>22</v>
      </c>
    </row>
    <row r="100" spans="1:7" x14ac:dyDescent="0.2">
      <c r="A100" s="7" t="s">
        <v>90</v>
      </c>
      <c r="B100" s="8">
        <v>23.1</v>
      </c>
      <c r="C100" s="7">
        <v>69.05</v>
      </c>
      <c r="D100" s="7">
        <v>40.479999999999997</v>
      </c>
      <c r="E100" s="8">
        <v>28.57</v>
      </c>
      <c r="F100" s="12">
        <v>1.8607291666666668E-2</v>
      </c>
      <c r="G100" s="7">
        <v>27</v>
      </c>
    </row>
    <row r="101" spans="1:7" x14ac:dyDescent="0.2">
      <c r="A101" s="10" t="s">
        <v>117</v>
      </c>
      <c r="B101" s="11">
        <v>28.9</v>
      </c>
      <c r="C101" s="10">
        <v>92.59</v>
      </c>
      <c r="D101" s="10">
        <v>61.11</v>
      </c>
      <c r="E101" s="11">
        <v>31.48</v>
      </c>
      <c r="F101" s="13">
        <v>2.1000694444444443E-2</v>
      </c>
      <c r="G101" s="10">
        <v>22</v>
      </c>
    </row>
    <row r="102" spans="1:7" x14ac:dyDescent="0.2">
      <c r="A102" s="7" t="s">
        <v>61</v>
      </c>
      <c r="B102" s="8">
        <v>21.4</v>
      </c>
      <c r="C102" s="7">
        <v>78.569999999999993</v>
      </c>
      <c r="D102" s="7">
        <v>64.290000000000006</v>
      </c>
      <c r="E102" s="8">
        <v>14.29</v>
      </c>
      <c r="F102" s="12">
        <v>2.0632986111111112E-2</v>
      </c>
      <c r="G102" s="7">
        <v>25</v>
      </c>
    </row>
    <row r="103" spans="1:7" x14ac:dyDescent="0.2">
      <c r="A103" s="10" t="s">
        <v>43</v>
      </c>
      <c r="B103" s="11">
        <v>35.200000000000003</v>
      </c>
      <c r="C103" s="10">
        <v>87.76</v>
      </c>
      <c r="D103" s="10">
        <v>69.39</v>
      </c>
      <c r="E103" s="11">
        <v>18.37</v>
      </c>
      <c r="F103" s="13">
        <v>1.8221990740740743E-2</v>
      </c>
      <c r="G103" s="10">
        <v>20</v>
      </c>
    </row>
    <row r="104" spans="1:7" x14ac:dyDescent="0.2">
      <c r="A104" s="7" t="s">
        <v>121</v>
      </c>
      <c r="B104" s="8">
        <v>33.799999999999997</v>
      </c>
      <c r="C104" s="7">
        <v>86</v>
      </c>
      <c r="D104" s="7">
        <v>68</v>
      </c>
      <c r="E104" s="8">
        <v>18</v>
      </c>
      <c r="F104" s="12">
        <v>1.9517708333333331E-2</v>
      </c>
      <c r="G104" s="7">
        <v>12</v>
      </c>
    </row>
    <row r="105" spans="1:7" x14ac:dyDescent="0.2">
      <c r="A105" s="10" t="s">
        <v>28</v>
      </c>
      <c r="B105" s="11">
        <v>30.5</v>
      </c>
      <c r="C105" s="10">
        <v>76.319999999999993</v>
      </c>
      <c r="D105" s="10">
        <v>57.89</v>
      </c>
      <c r="E105" s="11">
        <v>18.420000000000002</v>
      </c>
      <c r="F105" s="13">
        <v>1.811724537037037E-2</v>
      </c>
      <c r="G105" s="10">
        <v>28</v>
      </c>
    </row>
    <row r="106" spans="1:7" x14ac:dyDescent="0.2">
      <c r="A106" s="7" t="s">
        <v>14</v>
      </c>
      <c r="B106" s="8">
        <v>36.6</v>
      </c>
      <c r="C106" s="7">
        <v>88.71</v>
      </c>
      <c r="D106" s="7">
        <v>64.52</v>
      </c>
      <c r="E106" s="8">
        <v>24.19</v>
      </c>
      <c r="F106" s="12">
        <v>2.1847453703703706E-2</v>
      </c>
      <c r="G106" s="7">
        <v>17</v>
      </c>
    </row>
    <row r="107" spans="1:7" x14ac:dyDescent="0.2">
      <c r="A107" s="10" t="s">
        <v>53</v>
      </c>
      <c r="B107" s="11">
        <v>21.8</v>
      </c>
      <c r="C107" s="10">
        <v>77.78</v>
      </c>
      <c r="D107" s="10">
        <v>63.89</v>
      </c>
      <c r="E107" s="11">
        <v>13.89</v>
      </c>
      <c r="F107" s="13">
        <v>2.0387731481481482E-2</v>
      </c>
      <c r="G107" s="10">
        <v>14</v>
      </c>
    </row>
    <row r="108" spans="1:7" x14ac:dyDescent="0.2">
      <c r="A108" s="7" t="s">
        <v>74</v>
      </c>
      <c r="B108" s="8">
        <v>16</v>
      </c>
      <c r="C108" s="7">
        <v>66.67</v>
      </c>
      <c r="D108" s="7">
        <v>51.52</v>
      </c>
      <c r="E108" s="8">
        <v>15.15</v>
      </c>
      <c r="F108" s="12">
        <v>2.1202777777777779E-2</v>
      </c>
      <c r="G108" s="7">
        <v>25</v>
      </c>
    </row>
    <row r="109" spans="1:7" x14ac:dyDescent="0.2">
      <c r="A109" s="10" t="s">
        <v>59</v>
      </c>
      <c r="B109" s="11">
        <v>24.7</v>
      </c>
      <c r="C109" s="10">
        <v>76.09</v>
      </c>
      <c r="D109" s="10">
        <v>54.35</v>
      </c>
      <c r="E109" s="11">
        <v>21.74</v>
      </c>
      <c r="F109" s="13">
        <v>2.1928009259259262E-2</v>
      </c>
      <c r="G109" s="10">
        <v>23</v>
      </c>
    </row>
    <row r="110" spans="1:7" x14ac:dyDescent="0.2">
      <c r="A110" s="7" t="s">
        <v>56</v>
      </c>
      <c r="B110" s="8">
        <v>33.200000000000003</v>
      </c>
      <c r="C110" s="7">
        <v>74.510000000000005</v>
      </c>
      <c r="D110" s="7">
        <v>56.86</v>
      </c>
      <c r="E110" s="8">
        <v>17.649999999999999</v>
      </c>
      <c r="F110" s="12">
        <v>2.1219097222222219E-2</v>
      </c>
      <c r="G110" s="7">
        <v>21</v>
      </c>
    </row>
    <row r="111" spans="1:7" x14ac:dyDescent="0.2">
      <c r="A111" s="10" t="s">
        <v>0</v>
      </c>
      <c r="B111" s="11">
        <v>28.1</v>
      </c>
      <c r="C111" s="10">
        <v>80.36</v>
      </c>
      <c r="D111" s="10">
        <v>51.79</v>
      </c>
      <c r="E111" s="11">
        <v>28.57</v>
      </c>
      <c r="F111" s="13">
        <v>2.1961342592592591E-2</v>
      </c>
      <c r="G111" s="10">
        <v>29</v>
      </c>
    </row>
    <row r="112" spans="1:7" x14ac:dyDescent="0.2">
      <c r="A112" s="7" t="s">
        <v>31</v>
      </c>
      <c r="B112" s="8">
        <v>33.5</v>
      </c>
      <c r="C112" s="7">
        <v>94.12</v>
      </c>
      <c r="D112" s="7">
        <v>62.75</v>
      </c>
      <c r="E112" s="8">
        <v>31.37</v>
      </c>
      <c r="F112" s="12">
        <v>2.0253703703703704E-2</v>
      </c>
      <c r="G112" s="7">
        <v>16</v>
      </c>
    </row>
    <row r="113" spans="1:7" x14ac:dyDescent="0.2">
      <c r="A113" s="10" t="s">
        <v>62</v>
      </c>
      <c r="B113" s="11">
        <v>21.9</v>
      </c>
      <c r="C113" s="10">
        <v>78.260000000000005</v>
      </c>
      <c r="D113" s="10">
        <v>56.52</v>
      </c>
      <c r="E113" s="11">
        <v>21.74</v>
      </c>
      <c r="F113" s="13">
        <v>1.9049189814814814E-2</v>
      </c>
      <c r="G113" s="10">
        <v>25</v>
      </c>
    </row>
    <row r="114" spans="1:7" x14ac:dyDescent="0.2">
      <c r="A114" s="7" t="s">
        <v>26</v>
      </c>
      <c r="B114" s="8">
        <v>35.799999999999997</v>
      </c>
      <c r="C114" s="7">
        <v>86.79</v>
      </c>
      <c r="D114" s="7">
        <v>75.47</v>
      </c>
      <c r="E114" s="8">
        <v>11.32</v>
      </c>
      <c r="F114" s="12">
        <v>2.1229513888888888E-2</v>
      </c>
      <c r="G114" s="7">
        <v>12</v>
      </c>
    </row>
    <row r="115" spans="1:7" x14ac:dyDescent="0.2">
      <c r="A115" s="10" t="s">
        <v>57</v>
      </c>
      <c r="B115" s="11">
        <v>31.3</v>
      </c>
      <c r="C115" s="10">
        <v>84.44</v>
      </c>
      <c r="D115" s="10">
        <v>57.78</v>
      </c>
      <c r="E115" s="11">
        <v>26.67</v>
      </c>
      <c r="F115" s="13">
        <v>2.0743402777777777E-2</v>
      </c>
      <c r="G115" s="10">
        <v>16</v>
      </c>
    </row>
    <row r="116" spans="1:7" x14ac:dyDescent="0.2">
      <c r="A116" s="7" t="s">
        <v>44</v>
      </c>
      <c r="B116" s="8">
        <v>26.9</v>
      </c>
      <c r="C116" s="7">
        <v>76.92</v>
      </c>
      <c r="D116" s="7">
        <v>53.85</v>
      </c>
      <c r="E116" s="8">
        <v>23.08</v>
      </c>
      <c r="F116" s="12">
        <v>2.0398495370370372E-2</v>
      </c>
      <c r="G116" s="7">
        <v>21</v>
      </c>
    </row>
    <row r="117" spans="1:7" x14ac:dyDescent="0.2">
      <c r="A117" s="10" t="s">
        <v>128</v>
      </c>
      <c r="B117" s="11">
        <v>26.6</v>
      </c>
      <c r="C117" s="10">
        <v>84.09</v>
      </c>
      <c r="D117" s="10">
        <v>56.82</v>
      </c>
      <c r="E117" s="11">
        <v>27.27</v>
      </c>
      <c r="F117" s="13">
        <v>2.4277083333333335E-2</v>
      </c>
      <c r="G117" s="10">
        <v>12</v>
      </c>
    </row>
    <row r="118" spans="1:7" x14ac:dyDescent="0.2">
      <c r="A118" s="7" t="s">
        <v>102</v>
      </c>
      <c r="B118" s="8">
        <v>17.100000000000001</v>
      </c>
      <c r="C118" s="7">
        <v>81.25</v>
      </c>
      <c r="D118" s="7">
        <v>40.630000000000003</v>
      </c>
      <c r="E118" s="8">
        <v>40.630000000000003</v>
      </c>
      <c r="F118" s="12">
        <v>2.0598958333333334E-2</v>
      </c>
      <c r="G118" s="7">
        <v>22</v>
      </c>
    </row>
    <row r="119" spans="1:7" x14ac:dyDescent="0.2">
      <c r="A119" s="10" t="s">
        <v>92</v>
      </c>
      <c r="B119" s="11">
        <v>17.2</v>
      </c>
      <c r="C119" s="10">
        <v>73.08</v>
      </c>
      <c r="D119" s="10">
        <v>53.85</v>
      </c>
      <c r="E119" s="11">
        <v>19.23</v>
      </c>
      <c r="F119" s="13">
        <v>2.0481249999999999E-2</v>
      </c>
      <c r="G119" s="10">
        <v>29</v>
      </c>
    </row>
    <row r="120" spans="1:7" x14ac:dyDescent="0.2">
      <c r="A120" s="7" t="s">
        <v>100</v>
      </c>
      <c r="B120" s="8">
        <v>25.8</v>
      </c>
      <c r="C120" s="7">
        <v>83.67</v>
      </c>
      <c r="D120" s="7">
        <v>46.94</v>
      </c>
      <c r="E120" s="8">
        <v>36.729999999999997</v>
      </c>
      <c r="F120" s="12">
        <v>2.1978240740740743E-2</v>
      </c>
      <c r="G120" s="7">
        <v>24</v>
      </c>
    </row>
    <row r="121" spans="1:7" x14ac:dyDescent="0.2">
      <c r="A121" s="10" t="s">
        <v>64</v>
      </c>
      <c r="B121" s="11">
        <v>24.1</v>
      </c>
      <c r="C121" s="10">
        <v>87.5</v>
      </c>
      <c r="D121" s="10">
        <v>52.08</v>
      </c>
      <c r="E121" s="11">
        <v>35.42</v>
      </c>
      <c r="F121" s="13">
        <v>2.181446759259259E-2</v>
      </c>
      <c r="G121" s="10">
        <v>26</v>
      </c>
    </row>
    <row r="122" spans="1:7" x14ac:dyDescent="0.2">
      <c r="A122" s="7" t="s">
        <v>32</v>
      </c>
      <c r="B122" s="8">
        <v>14.8</v>
      </c>
      <c r="C122" s="7">
        <v>72.73</v>
      </c>
      <c r="D122" s="7">
        <v>42.42</v>
      </c>
      <c r="E122" s="8">
        <v>30.3</v>
      </c>
      <c r="F122" s="12">
        <v>1.9953703703703706E-2</v>
      </c>
      <c r="G122" s="7">
        <v>21</v>
      </c>
    </row>
    <row r="123" spans="1:7" x14ac:dyDescent="0.2">
      <c r="A123" s="10" t="s">
        <v>17</v>
      </c>
      <c r="B123" s="11">
        <v>30.2</v>
      </c>
      <c r="C123" s="10">
        <v>88.89</v>
      </c>
      <c r="D123" s="10">
        <v>53.33</v>
      </c>
      <c r="E123" s="11">
        <v>35.56</v>
      </c>
      <c r="F123" s="13">
        <v>1.9869328703703702E-2</v>
      </c>
      <c r="G123" s="10">
        <v>17</v>
      </c>
    </row>
    <row r="124" spans="1:7" x14ac:dyDescent="0.2">
      <c r="A124" s="7" t="s">
        <v>41</v>
      </c>
      <c r="B124" s="8">
        <v>31.8</v>
      </c>
      <c r="C124" s="7">
        <v>80.33</v>
      </c>
      <c r="D124" s="7">
        <v>63.93</v>
      </c>
      <c r="E124" s="8">
        <v>16.39</v>
      </c>
      <c r="F124" s="12">
        <v>2.1809375000000002E-2</v>
      </c>
      <c r="G124" s="7">
        <v>25</v>
      </c>
    </row>
    <row r="125" spans="1:7" x14ac:dyDescent="0.2">
      <c r="A125" s="10" t="s">
        <v>20</v>
      </c>
      <c r="B125" s="11">
        <v>33.5</v>
      </c>
      <c r="C125" s="10">
        <v>80</v>
      </c>
      <c r="D125" s="10">
        <v>52</v>
      </c>
      <c r="E125" s="11">
        <v>28</v>
      </c>
      <c r="F125" s="13">
        <v>2.0749652777777777E-2</v>
      </c>
      <c r="G125" s="10">
        <v>29</v>
      </c>
    </row>
    <row r="126" spans="1:7" x14ac:dyDescent="0.2">
      <c r="A126" s="7" t="s">
        <v>80</v>
      </c>
      <c r="B126" s="8">
        <v>44.4</v>
      </c>
      <c r="C126" s="7">
        <v>88.06</v>
      </c>
      <c r="D126" s="7">
        <v>67.16</v>
      </c>
      <c r="E126" s="8">
        <v>20.9</v>
      </c>
      <c r="F126" s="12">
        <v>1.9504050925925925E-2</v>
      </c>
      <c r="G126" s="7">
        <v>18</v>
      </c>
    </row>
    <row r="127" spans="1:7" x14ac:dyDescent="0.2">
      <c r="A127" s="10" t="s">
        <v>29</v>
      </c>
      <c r="B127" s="11">
        <v>33.799999999999997</v>
      </c>
      <c r="C127" s="10">
        <v>88.46</v>
      </c>
      <c r="D127" s="10">
        <v>63.46</v>
      </c>
      <c r="E127" s="11">
        <v>25</v>
      </c>
      <c r="F127" s="13">
        <v>2.2765277777777773E-2</v>
      </c>
      <c r="G127" s="10">
        <v>20</v>
      </c>
    </row>
    <row r="128" spans="1:7" x14ac:dyDescent="0.2">
      <c r="A128" s="7" t="s">
        <v>25</v>
      </c>
      <c r="B128" s="8">
        <v>34.6</v>
      </c>
      <c r="C128" s="7">
        <v>86.89</v>
      </c>
      <c r="D128" s="7">
        <v>63.93</v>
      </c>
      <c r="E128" s="8">
        <v>22.95</v>
      </c>
      <c r="F128" s="12">
        <v>2.3363078703703705E-2</v>
      </c>
      <c r="G128" s="7">
        <v>26</v>
      </c>
    </row>
    <row r="129" spans="1:7" x14ac:dyDescent="0.2">
      <c r="A129" s="10" t="s">
        <v>106</v>
      </c>
      <c r="B129" s="11">
        <v>21.1</v>
      </c>
      <c r="C129" s="10">
        <v>77.14</v>
      </c>
      <c r="D129" s="10">
        <v>48.57</v>
      </c>
      <c r="E129" s="11">
        <v>28.57</v>
      </c>
      <c r="F129" s="13">
        <v>2.2541435185185185E-2</v>
      </c>
      <c r="G129" s="10">
        <v>18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A1:Q126"/>
  <sheetViews>
    <sheetView workbookViewId="0">
      <selection activeCell="I2" sqref="I2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5.1640625" bestFit="1" customWidth="1"/>
    <col min="11" max="12" width="8.5" bestFit="1" customWidth="1"/>
    <col min="13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24.7</v>
      </c>
      <c r="C2" s="7">
        <v>94.59</v>
      </c>
      <c r="D2" s="7">
        <v>78.38</v>
      </c>
      <c r="E2" s="8">
        <v>16.22</v>
      </c>
      <c r="F2" s="12">
        <v>1.9144444444444447E-2</v>
      </c>
      <c r="G2" s="7">
        <v>13</v>
      </c>
      <c r="I2">
        <v>1</v>
      </c>
      <c r="J2" t="s">
        <v>88</v>
      </c>
      <c r="K2">
        <f>VLOOKUP($J2,Offense2013[],2)</f>
        <v>51.6</v>
      </c>
      <c r="L2">
        <f>VLOOKUP($J2,Offense2013[],3)</f>
        <v>97.26</v>
      </c>
      <c r="M2">
        <f>VLOOKUP($J2,Offense2013[],4)</f>
        <v>79.45</v>
      </c>
      <c r="N2">
        <f>VLOOKUP($J2,Offense2013[],5)</f>
        <v>17.809999999999999</v>
      </c>
      <c r="O2" s="1">
        <f>VLOOKUP($J2,Offense2013[],6)</f>
        <v>2.0416666666666666E-2</v>
      </c>
      <c r="P2">
        <f>VLOOKUP($J2,Offense2013[],7)</f>
        <v>18</v>
      </c>
      <c r="Q2">
        <v>2013</v>
      </c>
    </row>
    <row r="3" spans="1:17" x14ac:dyDescent="0.2">
      <c r="A3" s="10" t="s">
        <v>103</v>
      </c>
      <c r="B3" s="11">
        <v>20.2</v>
      </c>
      <c r="C3" s="10">
        <v>78.13</v>
      </c>
      <c r="D3" s="10">
        <v>59.38</v>
      </c>
      <c r="E3" s="11">
        <v>18.75</v>
      </c>
      <c r="F3" s="13">
        <v>2.0378125E-2</v>
      </c>
      <c r="G3" s="10">
        <v>21</v>
      </c>
      <c r="I3">
        <v>2</v>
      </c>
      <c r="J3" t="s">
        <v>19</v>
      </c>
      <c r="K3">
        <f>VLOOKUP($J3,Offense2013[],2)</f>
        <v>39.5</v>
      </c>
      <c r="L3">
        <f>VLOOKUP($J3,Offense2013[],3)</f>
        <v>88.52</v>
      </c>
      <c r="M3">
        <f>VLOOKUP($J3,Offense2013[],4)</f>
        <v>72.13</v>
      </c>
      <c r="N3">
        <f>VLOOKUP($J3,Offense2013[],5)</f>
        <v>16.39</v>
      </c>
      <c r="O3" s="1">
        <f>VLOOKUP($J3,Offense2013[],6)</f>
        <v>2.1092939814814814E-2</v>
      </c>
      <c r="P3">
        <f>VLOOKUP($J3,Offense2013[],7)</f>
        <v>19</v>
      </c>
      <c r="Q3">
        <v>2013</v>
      </c>
    </row>
    <row r="4" spans="1:17" x14ac:dyDescent="0.2">
      <c r="A4" s="7" t="s">
        <v>11</v>
      </c>
      <c r="B4" s="8">
        <v>38.200000000000003</v>
      </c>
      <c r="C4" s="7">
        <v>79.63</v>
      </c>
      <c r="D4" s="7">
        <v>64.81</v>
      </c>
      <c r="E4" s="8">
        <v>14.81</v>
      </c>
      <c r="F4" s="12">
        <v>2.2225810185185185E-2</v>
      </c>
      <c r="G4" s="7">
        <v>17</v>
      </c>
      <c r="I4">
        <v>3</v>
      </c>
      <c r="J4" t="s">
        <v>104</v>
      </c>
      <c r="K4">
        <f>VLOOKUP($J4,Offense2013[],2)</f>
        <v>29.4</v>
      </c>
      <c r="L4">
        <f>VLOOKUP($J4,Offense2013[],3)</f>
        <v>80</v>
      </c>
      <c r="M4">
        <f>VLOOKUP($J4,Offense2013[],4)</f>
        <v>56</v>
      </c>
      <c r="N4">
        <f>VLOOKUP($J4,Offense2013[],5)</f>
        <v>24</v>
      </c>
      <c r="O4" s="1">
        <f>VLOOKUP($J4,Offense2013[],6)</f>
        <v>2.3136574074074077E-2</v>
      </c>
      <c r="P4">
        <f>VLOOKUP($J4,Offense2013[],7)</f>
        <v>15</v>
      </c>
      <c r="Q4">
        <v>2013</v>
      </c>
    </row>
    <row r="5" spans="1:17" x14ac:dyDescent="0.2">
      <c r="A5" s="10" t="s">
        <v>5</v>
      </c>
      <c r="B5" s="11">
        <v>33.5</v>
      </c>
      <c r="C5" s="10">
        <v>82.14</v>
      </c>
      <c r="D5" s="10">
        <v>66.069999999999993</v>
      </c>
      <c r="E5" s="11">
        <v>16.07</v>
      </c>
      <c r="F5" s="13">
        <v>1.9792592592592594E-2</v>
      </c>
      <c r="G5" s="10">
        <v>18</v>
      </c>
      <c r="I5">
        <v>4</v>
      </c>
      <c r="J5" t="s">
        <v>98</v>
      </c>
      <c r="K5">
        <f>VLOOKUP($J5,Offense2013[],2)</f>
        <v>34.1</v>
      </c>
      <c r="L5">
        <f>VLOOKUP($J5,Offense2013[],3)</f>
        <v>86.54</v>
      </c>
      <c r="M5">
        <f>VLOOKUP($J5,Offense2013[],4)</f>
        <v>71.150000000000006</v>
      </c>
      <c r="N5">
        <f>VLOOKUP($J5,Offense2013[],5)</f>
        <v>15.38</v>
      </c>
      <c r="O5" s="1">
        <f>VLOOKUP($J5,Offense2013[],6)</f>
        <v>2.2232870370370372E-2</v>
      </c>
      <c r="P5">
        <f>VLOOKUP($J5,Offense2013[],7)</f>
        <v>17</v>
      </c>
      <c r="Q5">
        <v>2013</v>
      </c>
    </row>
    <row r="6" spans="1:17" x14ac:dyDescent="0.2">
      <c r="A6" s="7" t="s">
        <v>38</v>
      </c>
      <c r="B6" s="8">
        <v>39.700000000000003</v>
      </c>
      <c r="C6" s="7">
        <v>89.33</v>
      </c>
      <c r="D6" s="7">
        <v>61.33</v>
      </c>
      <c r="E6" s="8">
        <v>28</v>
      </c>
      <c r="F6" s="12">
        <v>2.1078009259259262E-2</v>
      </c>
      <c r="G6" s="7">
        <v>18</v>
      </c>
      <c r="I6">
        <v>5</v>
      </c>
      <c r="J6" t="s">
        <v>10</v>
      </c>
      <c r="K6">
        <f>VLOOKUP($J6,Offense2013[],2)</f>
        <v>39.1</v>
      </c>
      <c r="L6">
        <f>VLOOKUP($J6,Offense2013[],3)</f>
        <v>87.5</v>
      </c>
      <c r="M6">
        <f>VLOOKUP($J6,Offense2013[],4)</f>
        <v>70.31</v>
      </c>
      <c r="N6">
        <f>VLOOKUP($J6,Offense2013[],5)</f>
        <v>17.190000000000001</v>
      </c>
      <c r="O6" s="1">
        <f>VLOOKUP($J6,Offense2013[],6)</f>
        <v>2.0824189814814816E-2</v>
      </c>
      <c r="P6">
        <f>VLOOKUP($J6,Offense2013[],7)</f>
        <v>16</v>
      </c>
      <c r="Q6">
        <v>2013</v>
      </c>
    </row>
    <row r="7" spans="1:17" x14ac:dyDescent="0.2">
      <c r="A7" s="10" t="s">
        <v>63</v>
      </c>
      <c r="B7" s="11">
        <v>20.7</v>
      </c>
      <c r="C7" s="10">
        <v>78.95</v>
      </c>
      <c r="D7" s="10">
        <v>60.53</v>
      </c>
      <c r="E7" s="11">
        <v>18.420000000000002</v>
      </c>
      <c r="F7" s="13">
        <v>2.1139120370370371E-2</v>
      </c>
      <c r="G7" s="10">
        <v>23</v>
      </c>
      <c r="I7">
        <v>6</v>
      </c>
      <c r="J7" t="s">
        <v>3</v>
      </c>
      <c r="K7">
        <f>VLOOKUP($J7,Offense2013[],2)</f>
        <v>32.799999999999997</v>
      </c>
      <c r="L7">
        <f>VLOOKUP($J7,Offense2013[],3)</f>
        <v>87.27</v>
      </c>
      <c r="M7">
        <f>VLOOKUP($J7,Offense2013[],4)</f>
        <v>52.73</v>
      </c>
      <c r="N7">
        <f>VLOOKUP($J7,Offense2013[],5)</f>
        <v>34.549999999999997</v>
      </c>
      <c r="O7" s="1">
        <f>VLOOKUP($J7,Offense2013[],6)</f>
        <v>2.2430555555555554E-2</v>
      </c>
      <c r="P7">
        <f>VLOOKUP($J7,Offense2013[],7)</f>
        <v>16</v>
      </c>
      <c r="Q7">
        <v>2013</v>
      </c>
    </row>
    <row r="8" spans="1:17" x14ac:dyDescent="0.2">
      <c r="A8" s="7" t="s">
        <v>8</v>
      </c>
      <c r="B8" s="8">
        <v>29.2</v>
      </c>
      <c r="C8" s="7">
        <v>85.19</v>
      </c>
      <c r="D8" s="7">
        <v>64.81</v>
      </c>
      <c r="E8" s="8">
        <v>20.37</v>
      </c>
      <c r="F8" s="12">
        <v>2.0785300925925926E-2</v>
      </c>
      <c r="G8" s="7">
        <v>14</v>
      </c>
      <c r="I8">
        <v>7</v>
      </c>
      <c r="J8" t="s">
        <v>11</v>
      </c>
      <c r="K8">
        <f>VLOOKUP($J8,Offense2013[],2)</f>
        <v>38.200000000000003</v>
      </c>
      <c r="L8">
        <f>VLOOKUP($J8,Offense2013[],3)</f>
        <v>79.63</v>
      </c>
      <c r="M8">
        <f>VLOOKUP($J8,Offense2013[],4)</f>
        <v>64.81</v>
      </c>
      <c r="N8">
        <f>VLOOKUP($J8,Offense2013[],5)</f>
        <v>14.81</v>
      </c>
      <c r="O8" s="1">
        <f>VLOOKUP($J8,Offense2013[],6)</f>
        <v>2.2225810185185185E-2</v>
      </c>
      <c r="P8">
        <f>VLOOKUP($J8,Offense2013[],7)</f>
        <v>17</v>
      </c>
      <c r="Q8">
        <v>2013</v>
      </c>
    </row>
    <row r="9" spans="1:17" x14ac:dyDescent="0.2">
      <c r="A9" s="10" t="s">
        <v>42</v>
      </c>
      <c r="B9" s="11">
        <v>24.4</v>
      </c>
      <c r="C9" s="10">
        <v>87.8</v>
      </c>
      <c r="D9" s="10">
        <v>73.17</v>
      </c>
      <c r="E9" s="11">
        <v>14.63</v>
      </c>
      <c r="F9" s="13">
        <v>2.2326388888888885E-2</v>
      </c>
      <c r="G9" s="10">
        <v>17</v>
      </c>
      <c r="I9">
        <v>8</v>
      </c>
      <c r="J9" t="s">
        <v>24</v>
      </c>
      <c r="K9">
        <f>VLOOKUP($J9,Offense2013[],2)</f>
        <v>40.200000000000003</v>
      </c>
      <c r="L9">
        <f>VLOOKUP($J9,Offense2013[],3)</f>
        <v>85</v>
      </c>
      <c r="M9">
        <f>VLOOKUP($J9,Offense2013[],4)</f>
        <v>68.33</v>
      </c>
      <c r="N9">
        <f>VLOOKUP($J9,Offense2013[],5)</f>
        <v>16.670000000000002</v>
      </c>
      <c r="O9" s="1">
        <f>VLOOKUP($J9,Offense2013[],6)</f>
        <v>1.8955671296296297E-2</v>
      </c>
      <c r="P9">
        <f>VLOOKUP($J9,Offense2013[],7)</f>
        <v>24</v>
      </c>
      <c r="Q9">
        <v>2013</v>
      </c>
    </row>
    <row r="10" spans="1:17" x14ac:dyDescent="0.2">
      <c r="A10" s="7" t="s">
        <v>19</v>
      </c>
      <c r="B10" s="8">
        <v>39.5</v>
      </c>
      <c r="C10" s="7">
        <v>88.52</v>
      </c>
      <c r="D10" s="7">
        <v>72.13</v>
      </c>
      <c r="E10" s="8">
        <v>16.39</v>
      </c>
      <c r="F10" s="12">
        <v>2.1092939814814814E-2</v>
      </c>
      <c r="G10" s="7">
        <v>19</v>
      </c>
      <c r="I10">
        <v>9</v>
      </c>
      <c r="J10" t="s">
        <v>18</v>
      </c>
      <c r="K10">
        <f>VLOOKUP($J10,Offense2013[],2)</f>
        <v>45.5</v>
      </c>
      <c r="L10">
        <f>VLOOKUP($J10,Offense2013[],3)</f>
        <v>78.38</v>
      </c>
      <c r="M10">
        <f>VLOOKUP($J10,Offense2013[],4)</f>
        <v>66.22</v>
      </c>
      <c r="N10">
        <f>VLOOKUP($J10,Offense2013[],5)</f>
        <v>12.16</v>
      </c>
      <c r="O10" s="1">
        <f>VLOOKUP($J10,Offense2013[],6)</f>
        <v>1.7743981481481482E-2</v>
      </c>
      <c r="P10">
        <f>VLOOKUP($J10,Offense2013[],7)</f>
        <v>18</v>
      </c>
      <c r="Q10">
        <v>2013</v>
      </c>
    </row>
    <row r="11" spans="1:17" x14ac:dyDescent="0.2">
      <c r="A11" s="10" t="s">
        <v>120</v>
      </c>
      <c r="B11" s="11">
        <v>38.5</v>
      </c>
      <c r="C11" s="10">
        <v>90.91</v>
      </c>
      <c r="D11" s="10">
        <v>66.67</v>
      </c>
      <c r="E11" s="11">
        <v>24.24</v>
      </c>
      <c r="F11" s="13">
        <v>2.0008912037037037E-2</v>
      </c>
      <c r="G11" s="10">
        <v>19</v>
      </c>
      <c r="I11">
        <v>10</v>
      </c>
      <c r="J11" t="s">
        <v>0</v>
      </c>
      <c r="K11">
        <f>VLOOKUP($J11,Offense2013[],2)</f>
        <v>34.6</v>
      </c>
      <c r="L11">
        <f>VLOOKUP($J11,Offense2013[],3)</f>
        <v>86.57</v>
      </c>
      <c r="M11">
        <f>VLOOKUP($J11,Offense2013[],4)</f>
        <v>59.7</v>
      </c>
      <c r="N11">
        <f>VLOOKUP($J11,Offense2013[],5)</f>
        <v>26.87</v>
      </c>
      <c r="O11" s="1">
        <f>VLOOKUP($J11,Offense2013[],6)</f>
        <v>2.2358449074074079E-2</v>
      </c>
      <c r="P11">
        <f>VLOOKUP($J11,Offense2013[],7)</f>
        <v>21</v>
      </c>
      <c r="Q11">
        <v>2013</v>
      </c>
    </row>
    <row r="12" spans="1:17" x14ac:dyDescent="0.2">
      <c r="A12" s="7" t="s">
        <v>94</v>
      </c>
      <c r="B12" s="8">
        <v>52.4</v>
      </c>
      <c r="C12" s="7">
        <v>82.09</v>
      </c>
      <c r="D12" s="7">
        <v>64.180000000000007</v>
      </c>
      <c r="E12" s="8">
        <v>17.91</v>
      </c>
      <c r="F12" s="12">
        <v>1.894675925925926E-2</v>
      </c>
      <c r="G12" s="7">
        <v>16</v>
      </c>
      <c r="I12">
        <v>11</v>
      </c>
      <c r="J12" t="s">
        <v>37</v>
      </c>
      <c r="K12">
        <f>VLOOKUP($J12,Offense2013[],2)</f>
        <v>32.299999999999997</v>
      </c>
      <c r="L12">
        <f>VLOOKUP($J12,Offense2013[],3)</f>
        <v>90.38</v>
      </c>
      <c r="M12">
        <f>VLOOKUP($J12,Offense2013[],4)</f>
        <v>57.69</v>
      </c>
      <c r="N12">
        <f>VLOOKUP($J12,Offense2013[],5)</f>
        <v>32.69</v>
      </c>
      <c r="O12" s="1">
        <f>VLOOKUP($J12,Offense2013[],6)</f>
        <v>2.2056018518518516E-2</v>
      </c>
      <c r="P12">
        <f>VLOOKUP($J12,Offense2013[],7)</f>
        <v>19</v>
      </c>
      <c r="Q12">
        <v>2013</v>
      </c>
    </row>
    <row r="13" spans="1:17" x14ac:dyDescent="0.2">
      <c r="A13" s="10" t="s">
        <v>33</v>
      </c>
      <c r="B13" s="11">
        <v>37.5</v>
      </c>
      <c r="C13" s="10">
        <v>89.71</v>
      </c>
      <c r="D13" s="10">
        <v>67.650000000000006</v>
      </c>
      <c r="E13" s="11">
        <v>22.06</v>
      </c>
      <c r="F13" s="13">
        <v>1.9693749999999999E-2</v>
      </c>
      <c r="G13" s="10">
        <v>24</v>
      </c>
      <c r="I13">
        <v>12</v>
      </c>
      <c r="J13" t="s">
        <v>4</v>
      </c>
      <c r="K13">
        <f>VLOOKUP($J13,Offense2013[],2)</f>
        <v>45.5</v>
      </c>
      <c r="L13">
        <f>VLOOKUP($J13,Offense2013[],3)</f>
        <v>95.24</v>
      </c>
      <c r="M13">
        <f>VLOOKUP($J13,Offense2013[],4)</f>
        <v>84.13</v>
      </c>
      <c r="N13">
        <f>VLOOKUP($J13,Offense2013[],5)</f>
        <v>11.11</v>
      </c>
      <c r="O13" s="1">
        <f>VLOOKUP($J13,Offense2013[],6)</f>
        <v>2.1812152777777778E-2</v>
      </c>
      <c r="P13">
        <f>VLOOKUP($J13,Offense2013[],7)</f>
        <v>19</v>
      </c>
      <c r="Q13">
        <v>2013</v>
      </c>
    </row>
    <row r="14" spans="1:17" x14ac:dyDescent="0.2">
      <c r="A14" s="7" t="s">
        <v>79</v>
      </c>
      <c r="B14" s="8">
        <v>27.7</v>
      </c>
      <c r="C14" s="7">
        <v>96.97</v>
      </c>
      <c r="D14" s="7">
        <v>57.58</v>
      </c>
      <c r="E14" s="8">
        <v>39.39</v>
      </c>
      <c r="F14" s="12">
        <v>2.0310763888888889E-2</v>
      </c>
      <c r="G14" s="7">
        <v>17</v>
      </c>
      <c r="I14">
        <v>13</v>
      </c>
      <c r="J14" t="s">
        <v>94</v>
      </c>
      <c r="K14">
        <f>VLOOKUP($J14,Offense2013[],2)</f>
        <v>52.4</v>
      </c>
      <c r="L14">
        <f>VLOOKUP($J14,Offense2013[],3)</f>
        <v>82.09</v>
      </c>
      <c r="M14">
        <f>VLOOKUP($J14,Offense2013[],4)</f>
        <v>64.180000000000007</v>
      </c>
      <c r="N14">
        <f>VLOOKUP($J14,Offense2013[],5)</f>
        <v>17.91</v>
      </c>
      <c r="O14" s="1">
        <f>VLOOKUP($J14,Offense2013[],6)</f>
        <v>1.894675925925926E-2</v>
      </c>
      <c r="P14">
        <f>VLOOKUP($J14,Offense2013[],7)</f>
        <v>16</v>
      </c>
      <c r="Q14">
        <v>2013</v>
      </c>
    </row>
    <row r="15" spans="1:17" x14ac:dyDescent="0.2">
      <c r="A15" s="10" t="s">
        <v>87</v>
      </c>
      <c r="B15" s="11">
        <v>34.799999999999997</v>
      </c>
      <c r="C15" s="10">
        <v>85.25</v>
      </c>
      <c r="D15" s="10">
        <v>63.93</v>
      </c>
      <c r="E15" s="11">
        <v>21.31</v>
      </c>
      <c r="F15" s="13">
        <v>2.3646643518518518E-2</v>
      </c>
      <c r="G15" s="10">
        <v>11</v>
      </c>
      <c r="I15">
        <v>14</v>
      </c>
      <c r="J15" t="s">
        <v>70</v>
      </c>
      <c r="K15">
        <f>VLOOKUP($J15,Offense2013[],2)</f>
        <v>35.799999999999997</v>
      </c>
      <c r="L15">
        <f>VLOOKUP($J15,Offense2013[],3)</f>
        <v>83.93</v>
      </c>
      <c r="M15">
        <f>VLOOKUP($J15,Offense2013[],4)</f>
        <v>66.069999999999993</v>
      </c>
      <c r="N15">
        <f>VLOOKUP($J15,Offense2013[],5)</f>
        <v>17.86</v>
      </c>
      <c r="O15" s="1">
        <f>VLOOKUP($J15,Offense2013[],6)</f>
        <v>2.0837731481481481E-2</v>
      </c>
      <c r="P15">
        <f>VLOOKUP($J15,Offense2013[],7)</f>
        <v>19</v>
      </c>
      <c r="Q15">
        <v>2013</v>
      </c>
    </row>
    <row r="16" spans="1:17" x14ac:dyDescent="0.2">
      <c r="A16" s="7" t="s">
        <v>66</v>
      </c>
      <c r="B16" s="8">
        <v>30.3</v>
      </c>
      <c r="C16" s="7">
        <v>87.23</v>
      </c>
      <c r="D16" s="7">
        <v>74.47</v>
      </c>
      <c r="E16" s="8">
        <v>12.77</v>
      </c>
      <c r="F16" s="12">
        <v>2.1905324074074074E-2</v>
      </c>
      <c r="G16" s="7">
        <v>15</v>
      </c>
      <c r="I16">
        <v>15</v>
      </c>
      <c r="J16" t="s">
        <v>12</v>
      </c>
      <c r="K16">
        <f>VLOOKUP($J16,Offense2013[],2)</f>
        <v>35.200000000000003</v>
      </c>
      <c r="L16">
        <f>VLOOKUP($J16,Offense2013[],3)</f>
        <v>86.21</v>
      </c>
      <c r="M16">
        <f>VLOOKUP($J16,Offense2013[],4)</f>
        <v>56.9</v>
      </c>
      <c r="N16">
        <f>VLOOKUP($J16,Offense2013[],5)</f>
        <v>29.31</v>
      </c>
      <c r="O16" s="1">
        <f>VLOOKUP($J16,Offense2013[],6)</f>
        <v>2.3487384259259256E-2</v>
      </c>
      <c r="P16">
        <f>VLOOKUP($J16,Offense2013[],7)</f>
        <v>10</v>
      </c>
      <c r="Q16">
        <v>2013</v>
      </c>
    </row>
    <row r="17" spans="1:17" x14ac:dyDescent="0.2">
      <c r="A17" s="10" t="s">
        <v>122</v>
      </c>
      <c r="B17" s="11">
        <v>30.2</v>
      </c>
      <c r="C17" s="10">
        <v>80.7</v>
      </c>
      <c r="D17" s="10">
        <v>47.37</v>
      </c>
      <c r="E17" s="11">
        <v>33.33</v>
      </c>
      <c r="F17" s="13">
        <v>1.9233449074074073E-2</v>
      </c>
      <c r="G17" s="10">
        <v>21</v>
      </c>
      <c r="I17">
        <v>16</v>
      </c>
      <c r="J17" t="s">
        <v>31</v>
      </c>
      <c r="K17">
        <f>VLOOKUP($J17,Offense2013[],2)</f>
        <v>36.9</v>
      </c>
      <c r="L17">
        <f>VLOOKUP($J17,Offense2013[],3)</f>
        <v>85.94</v>
      </c>
      <c r="M17">
        <f>VLOOKUP($J17,Offense2013[],4)</f>
        <v>71.88</v>
      </c>
      <c r="N17">
        <f>VLOOKUP($J17,Offense2013[],5)</f>
        <v>14.06</v>
      </c>
      <c r="O17" s="1">
        <f>VLOOKUP($J17,Offense2013[],6)</f>
        <v>2.017534722222222E-2</v>
      </c>
      <c r="P17">
        <f>VLOOKUP($J17,Offense2013[],7)</f>
        <v>16</v>
      </c>
      <c r="Q17">
        <v>2013</v>
      </c>
    </row>
    <row r="18" spans="1:17" x14ac:dyDescent="0.2">
      <c r="A18" s="7" t="s">
        <v>72</v>
      </c>
      <c r="B18" s="8">
        <v>23</v>
      </c>
      <c r="C18" s="7">
        <v>72.09</v>
      </c>
      <c r="D18" s="7">
        <v>48.84</v>
      </c>
      <c r="E18" s="8">
        <v>23.26</v>
      </c>
      <c r="F18" s="12">
        <v>2.0294212962962962E-2</v>
      </c>
      <c r="G18" s="7">
        <v>28</v>
      </c>
      <c r="I18">
        <v>17</v>
      </c>
      <c r="J18" t="s">
        <v>2</v>
      </c>
      <c r="K18">
        <f>VLOOKUP($J18,Offense2013[],2)</f>
        <v>39.1</v>
      </c>
      <c r="L18">
        <f>VLOOKUP($J18,Offense2013[],3)</f>
        <v>87.5</v>
      </c>
      <c r="M18">
        <f>VLOOKUP($J18,Offense2013[],4)</f>
        <v>75</v>
      </c>
      <c r="N18">
        <f>VLOOKUP($J18,Offense2013[],5)</f>
        <v>12.5</v>
      </c>
      <c r="O18" s="1">
        <f>VLOOKUP($J18,Offense2013[],6)</f>
        <v>1.8569212962962964E-2</v>
      </c>
      <c r="P18">
        <f>VLOOKUP($J18,Offense2013[],7)</f>
        <v>18</v>
      </c>
      <c r="Q18">
        <v>2013</v>
      </c>
    </row>
    <row r="19" spans="1:17" x14ac:dyDescent="0.2">
      <c r="A19" s="10" t="s">
        <v>54</v>
      </c>
      <c r="B19" s="11">
        <v>23.3</v>
      </c>
      <c r="C19" s="10">
        <v>76.739999999999995</v>
      </c>
      <c r="D19" s="10">
        <v>51.16</v>
      </c>
      <c r="E19" s="11">
        <v>25.58</v>
      </c>
      <c r="F19" s="13">
        <v>2.0746527777777777E-2</v>
      </c>
      <c r="G19" s="10">
        <v>27</v>
      </c>
      <c r="I19">
        <v>18</v>
      </c>
      <c r="J19" t="s">
        <v>43</v>
      </c>
      <c r="K19">
        <f>VLOOKUP($J19,Offense2013[],2)</f>
        <v>44.2</v>
      </c>
      <c r="L19">
        <f>VLOOKUP($J19,Offense2013[],3)</f>
        <v>80.819999999999993</v>
      </c>
      <c r="M19">
        <f>VLOOKUP($J19,Offense2013[],4)</f>
        <v>72.599999999999994</v>
      </c>
      <c r="N19">
        <f>VLOOKUP($J19,Offense2013[],5)</f>
        <v>8.2200000000000006</v>
      </c>
      <c r="O19" s="1">
        <f>VLOOKUP($J19,Offense2013[],6)</f>
        <v>1.8572800925925923E-2</v>
      </c>
      <c r="P19">
        <f>VLOOKUP($J19,Offense2013[],7)</f>
        <v>21</v>
      </c>
      <c r="Q19">
        <v>2013</v>
      </c>
    </row>
    <row r="20" spans="1:17" x14ac:dyDescent="0.2">
      <c r="A20" s="7" t="s">
        <v>110</v>
      </c>
      <c r="B20" s="8">
        <v>32.1</v>
      </c>
      <c r="C20" s="7">
        <v>73.680000000000007</v>
      </c>
      <c r="D20" s="7">
        <v>63.16</v>
      </c>
      <c r="E20" s="8">
        <v>10.53</v>
      </c>
      <c r="F20" s="12">
        <v>2.1725462962962964E-2</v>
      </c>
      <c r="G20" s="7">
        <v>28</v>
      </c>
      <c r="I20">
        <v>19</v>
      </c>
      <c r="J20" t="s">
        <v>26</v>
      </c>
      <c r="K20">
        <f>VLOOKUP($J20,Offense2013[],2)</f>
        <v>29.7</v>
      </c>
      <c r="L20">
        <f>VLOOKUP($J20,Offense2013[],3)</f>
        <v>92.5</v>
      </c>
      <c r="M20">
        <f>VLOOKUP($J20,Offense2013[],4)</f>
        <v>67.5</v>
      </c>
      <c r="N20">
        <f>VLOOKUP($J20,Offense2013[],5)</f>
        <v>25</v>
      </c>
      <c r="O20" s="1">
        <f>VLOOKUP($J20,Offense2013[],6)</f>
        <v>2.2966319444444442E-2</v>
      </c>
      <c r="P20">
        <f>VLOOKUP($J20,Offense2013[],7)</f>
        <v>17</v>
      </c>
      <c r="Q20">
        <v>2013</v>
      </c>
    </row>
    <row r="21" spans="1:17" x14ac:dyDescent="0.2">
      <c r="A21" s="10" t="s">
        <v>24</v>
      </c>
      <c r="B21" s="11">
        <v>40.200000000000003</v>
      </c>
      <c r="C21" s="10">
        <v>85</v>
      </c>
      <c r="D21" s="10">
        <v>68.33</v>
      </c>
      <c r="E21" s="11">
        <v>16.670000000000002</v>
      </c>
      <c r="F21" s="13">
        <v>1.8955671296296297E-2</v>
      </c>
      <c r="G21" s="10">
        <v>24</v>
      </c>
      <c r="I21">
        <v>20</v>
      </c>
      <c r="J21" t="s">
        <v>23</v>
      </c>
      <c r="K21">
        <f>VLOOKUP($J21,Offense2013[],2)</f>
        <v>27.2</v>
      </c>
      <c r="L21">
        <f>VLOOKUP($J21,Offense2013[],3)</f>
        <v>80</v>
      </c>
      <c r="M21">
        <f>VLOOKUP($J21,Offense2013[],4)</f>
        <v>53.33</v>
      </c>
      <c r="N21">
        <f>VLOOKUP($J21,Offense2013[],5)</f>
        <v>26.67</v>
      </c>
      <c r="O21" s="1">
        <f>VLOOKUP($J21,Offense2013[],6)</f>
        <v>2.0214583333333334E-2</v>
      </c>
      <c r="P21">
        <f>VLOOKUP($J21,Offense2013[],7)</f>
        <v>17</v>
      </c>
      <c r="Q21">
        <v>2013</v>
      </c>
    </row>
    <row r="22" spans="1:17" x14ac:dyDescent="0.2">
      <c r="A22" s="7" t="s">
        <v>77</v>
      </c>
      <c r="B22" s="8">
        <v>25.4</v>
      </c>
      <c r="C22" s="7">
        <v>81.25</v>
      </c>
      <c r="D22" s="7">
        <v>43.75</v>
      </c>
      <c r="E22" s="8">
        <v>37.5</v>
      </c>
      <c r="F22" s="12">
        <v>2.0014467592592591E-2</v>
      </c>
      <c r="G22" s="7">
        <v>24</v>
      </c>
      <c r="I22">
        <v>21</v>
      </c>
      <c r="J22" t="s">
        <v>38</v>
      </c>
      <c r="K22">
        <f>VLOOKUP($J22,Offense2013[],2)</f>
        <v>39.700000000000003</v>
      </c>
      <c r="L22">
        <f>VLOOKUP($J22,Offense2013[],3)</f>
        <v>89.33</v>
      </c>
      <c r="M22">
        <f>VLOOKUP($J22,Offense2013[],4)</f>
        <v>61.33</v>
      </c>
      <c r="N22">
        <f>VLOOKUP($J22,Offense2013[],5)</f>
        <v>28</v>
      </c>
      <c r="O22" s="1">
        <f>VLOOKUP($J22,Offense2013[],6)</f>
        <v>2.1078009259259262E-2</v>
      </c>
      <c r="P22">
        <f>VLOOKUP($J22,Offense2013[],7)</f>
        <v>18</v>
      </c>
      <c r="Q22">
        <v>2013</v>
      </c>
    </row>
    <row r="23" spans="1:17" x14ac:dyDescent="0.2">
      <c r="A23" s="10" t="s">
        <v>30</v>
      </c>
      <c r="B23" s="11">
        <v>36.200000000000003</v>
      </c>
      <c r="C23" s="10">
        <v>87.5</v>
      </c>
      <c r="D23" s="10">
        <v>67.86</v>
      </c>
      <c r="E23" s="11">
        <v>19.64</v>
      </c>
      <c r="F23" s="13">
        <v>2.1407870370370369E-2</v>
      </c>
      <c r="G23" s="10">
        <v>20</v>
      </c>
      <c r="I23">
        <v>22</v>
      </c>
      <c r="J23" t="s">
        <v>25</v>
      </c>
      <c r="K23">
        <f>VLOOKUP($J23,Offense2013[],2)</f>
        <v>34.799999999999997</v>
      </c>
      <c r="L23">
        <f>VLOOKUP($J23,Offense2013[],3)</f>
        <v>86.44</v>
      </c>
      <c r="M23">
        <f>VLOOKUP($J23,Offense2013[],4)</f>
        <v>66.099999999999994</v>
      </c>
      <c r="N23">
        <f>VLOOKUP($J23,Offense2013[],5)</f>
        <v>20.34</v>
      </c>
      <c r="O23" s="1">
        <f>VLOOKUP($J23,Offense2013[],6)</f>
        <v>2.3311921296296296E-2</v>
      </c>
      <c r="P23">
        <f>VLOOKUP($J23,Offense2013[],7)</f>
        <v>19</v>
      </c>
      <c r="Q23">
        <v>2013</v>
      </c>
    </row>
    <row r="24" spans="1:17" x14ac:dyDescent="0.2">
      <c r="A24" s="7" t="s">
        <v>101</v>
      </c>
      <c r="B24" s="8">
        <v>20.6</v>
      </c>
      <c r="C24" s="7">
        <v>84.85</v>
      </c>
      <c r="D24" s="7">
        <v>60.61</v>
      </c>
      <c r="E24" s="8">
        <v>24.24</v>
      </c>
      <c r="F24" s="12">
        <v>2.0081018518518519E-2</v>
      </c>
      <c r="G24" s="7">
        <v>25</v>
      </c>
      <c r="I24">
        <v>23</v>
      </c>
      <c r="J24" t="s">
        <v>85</v>
      </c>
      <c r="K24">
        <f>VLOOKUP($J24,Offense2013[],2)</f>
        <v>32.799999999999997</v>
      </c>
      <c r="L24">
        <f>VLOOKUP($J24,Offense2013[],3)</f>
        <v>86.21</v>
      </c>
      <c r="M24">
        <f>VLOOKUP($J24,Offense2013[],4)</f>
        <v>68.97</v>
      </c>
      <c r="N24">
        <f>VLOOKUP($J24,Offense2013[],5)</f>
        <v>17.239999999999998</v>
      </c>
      <c r="O24" s="1">
        <f>VLOOKUP($J24,Offense2013[],6)</f>
        <v>2.018275462962963E-2</v>
      </c>
      <c r="P24">
        <f>VLOOKUP($J24,Offense2013[],7)</f>
        <v>25</v>
      </c>
      <c r="Q24">
        <v>2013</v>
      </c>
    </row>
    <row r="25" spans="1:17" x14ac:dyDescent="0.2">
      <c r="A25" s="10" t="s">
        <v>85</v>
      </c>
      <c r="B25" s="11">
        <v>32.799999999999997</v>
      </c>
      <c r="C25" s="10">
        <v>86.21</v>
      </c>
      <c r="D25" s="10">
        <v>68.97</v>
      </c>
      <c r="E25" s="11">
        <v>17.239999999999998</v>
      </c>
      <c r="F25" s="13">
        <v>2.018275462962963E-2</v>
      </c>
      <c r="G25" s="10">
        <v>25</v>
      </c>
      <c r="I25">
        <v>24</v>
      </c>
      <c r="J25" t="s">
        <v>92</v>
      </c>
      <c r="K25">
        <f>VLOOKUP($J25,Offense2013[],2)</f>
        <v>30.1</v>
      </c>
      <c r="L25">
        <f>VLOOKUP($J25,Offense2013[],3)</f>
        <v>89.29</v>
      </c>
      <c r="M25">
        <f>VLOOKUP($J25,Offense2013[],4)</f>
        <v>66.069999999999993</v>
      </c>
      <c r="N25">
        <f>VLOOKUP($J25,Offense2013[],5)</f>
        <v>23.21</v>
      </c>
      <c r="O25" s="1">
        <f>VLOOKUP($J25,Offense2013[],6)</f>
        <v>2.2006712962962961E-2</v>
      </c>
      <c r="P25">
        <f>VLOOKUP($J25,Offense2013[],7)</f>
        <v>23</v>
      </c>
      <c r="Q25">
        <v>2013</v>
      </c>
    </row>
    <row r="26" spans="1:17" x14ac:dyDescent="0.2">
      <c r="A26" s="7" t="s">
        <v>89</v>
      </c>
      <c r="B26" s="8">
        <v>40.200000000000003</v>
      </c>
      <c r="C26" s="7">
        <v>85.33</v>
      </c>
      <c r="D26" s="7">
        <v>68</v>
      </c>
      <c r="E26" s="8">
        <v>17.329999999999998</v>
      </c>
      <c r="F26" s="12">
        <v>2.0364120370370369E-2</v>
      </c>
      <c r="G26" s="7">
        <v>16</v>
      </c>
      <c r="I26">
        <v>25</v>
      </c>
      <c r="J26" t="s">
        <v>17</v>
      </c>
      <c r="K26">
        <f>VLOOKUP($J26,Offense2013[],2)</f>
        <v>37.9</v>
      </c>
      <c r="L26">
        <f>VLOOKUP($J26,Offense2013[],3)</f>
        <v>88.52</v>
      </c>
      <c r="M26">
        <f>VLOOKUP($J26,Offense2013[],4)</f>
        <v>75.41</v>
      </c>
      <c r="N26">
        <f>VLOOKUP($J26,Offense2013[],5)</f>
        <v>13.11</v>
      </c>
      <c r="O26" s="1">
        <f>VLOOKUP($J26,Offense2013[],6)</f>
        <v>1.9921643518518519E-2</v>
      </c>
      <c r="P26">
        <f>VLOOKUP($J26,Offense2013[],7)</f>
        <v>16</v>
      </c>
      <c r="Q26">
        <v>2013</v>
      </c>
    </row>
    <row r="27" spans="1:17" x14ac:dyDescent="0.2">
      <c r="A27" s="10" t="s">
        <v>81</v>
      </c>
      <c r="B27" s="11">
        <v>18.8</v>
      </c>
      <c r="C27" s="10">
        <v>75</v>
      </c>
      <c r="D27" s="10">
        <v>62.5</v>
      </c>
      <c r="E27" s="11">
        <v>12.5</v>
      </c>
      <c r="F27" s="13">
        <v>2.1079282407407408E-2</v>
      </c>
      <c r="G27" s="10">
        <v>23</v>
      </c>
    </row>
    <row r="28" spans="1:17" x14ac:dyDescent="0.2">
      <c r="A28" s="7" t="s">
        <v>108</v>
      </c>
      <c r="B28" s="8">
        <v>18.8</v>
      </c>
      <c r="C28" s="7">
        <v>69.77</v>
      </c>
      <c r="D28" s="7">
        <v>44.19</v>
      </c>
      <c r="E28" s="8">
        <v>25.58</v>
      </c>
      <c r="F28" s="12">
        <v>2.3483796296296298E-2</v>
      </c>
      <c r="G28" s="7">
        <v>20</v>
      </c>
    </row>
    <row r="29" spans="1:17" x14ac:dyDescent="0.2">
      <c r="A29" s="10" t="s">
        <v>9</v>
      </c>
      <c r="B29" s="11">
        <v>26.4</v>
      </c>
      <c r="C29" s="10">
        <v>80.489999999999995</v>
      </c>
      <c r="D29" s="10">
        <v>63.41</v>
      </c>
      <c r="E29" s="11">
        <v>17.07</v>
      </c>
      <c r="F29" s="13">
        <v>2.2109375000000001E-2</v>
      </c>
      <c r="G29" s="10">
        <v>21</v>
      </c>
    </row>
    <row r="30" spans="1:17" x14ac:dyDescent="0.2">
      <c r="A30" s="7" t="s">
        <v>95</v>
      </c>
      <c r="B30" s="8">
        <v>9.8000000000000007</v>
      </c>
      <c r="C30" s="7">
        <v>72</v>
      </c>
      <c r="D30" s="7">
        <v>48</v>
      </c>
      <c r="E30" s="8">
        <v>24</v>
      </c>
      <c r="F30" s="12">
        <v>2.1445833333333334E-2</v>
      </c>
      <c r="G30" s="7">
        <v>20</v>
      </c>
    </row>
    <row r="31" spans="1:17" x14ac:dyDescent="0.2">
      <c r="A31" s="10" t="s">
        <v>88</v>
      </c>
      <c r="B31" s="11">
        <v>51.6</v>
      </c>
      <c r="C31" s="10">
        <v>97.26</v>
      </c>
      <c r="D31" s="10">
        <v>79.45</v>
      </c>
      <c r="E31" s="11">
        <v>17.809999999999999</v>
      </c>
      <c r="F31" s="13">
        <v>2.0416666666666666E-2</v>
      </c>
      <c r="G31" s="10">
        <v>18</v>
      </c>
    </row>
    <row r="32" spans="1:17" x14ac:dyDescent="0.2">
      <c r="A32" s="7" t="s">
        <v>73</v>
      </c>
      <c r="B32" s="8">
        <v>43.4</v>
      </c>
      <c r="C32" s="7">
        <v>84.51</v>
      </c>
      <c r="D32" s="7">
        <v>71.83</v>
      </c>
      <c r="E32" s="8">
        <v>12.68</v>
      </c>
      <c r="F32" s="12">
        <v>1.9708912037037039E-2</v>
      </c>
      <c r="G32" s="7">
        <v>22</v>
      </c>
    </row>
    <row r="33" spans="1:7" x14ac:dyDescent="0.2">
      <c r="A33" s="10" t="s">
        <v>22</v>
      </c>
      <c r="B33" s="11">
        <v>36.700000000000003</v>
      </c>
      <c r="C33" s="10">
        <v>86.3</v>
      </c>
      <c r="D33" s="10">
        <v>63.01</v>
      </c>
      <c r="E33" s="11">
        <v>23.29</v>
      </c>
      <c r="F33" s="13">
        <v>2.0404166666666668E-2</v>
      </c>
      <c r="G33" s="10">
        <v>22</v>
      </c>
    </row>
    <row r="34" spans="1:7" x14ac:dyDescent="0.2">
      <c r="A34" s="7" t="s">
        <v>114</v>
      </c>
      <c r="B34" s="8">
        <v>18.8</v>
      </c>
      <c r="C34" s="7">
        <v>77.78</v>
      </c>
      <c r="D34" s="7">
        <v>59.26</v>
      </c>
      <c r="E34" s="8">
        <v>18.52</v>
      </c>
      <c r="F34" s="12">
        <v>1.9419328703703703E-2</v>
      </c>
      <c r="G34" s="7">
        <v>23</v>
      </c>
    </row>
    <row r="35" spans="1:7" x14ac:dyDescent="0.2">
      <c r="A35" s="10" t="s">
        <v>71</v>
      </c>
      <c r="B35" s="11">
        <v>35.1</v>
      </c>
      <c r="C35" s="10">
        <v>89.8</v>
      </c>
      <c r="D35" s="10">
        <v>81.63</v>
      </c>
      <c r="E35" s="11">
        <v>8.16</v>
      </c>
      <c r="F35" s="13">
        <v>2.3140162037037035E-2</v>
      </c>
      <c r="G35" s="10">
        <v>24</v>
      </c>
    </row>
    <row r="36" spans="1:7" x14ac:dyDescent="0.2">
      <c r="A36" s="7" t="s">
        <v>105</v>
      </c>
      <c r="B36" s="8">
        <v>27.4</v>
      </c>
      <c r="C36" s="7">
        <v>75</v>
      </c>
      <c r="D36" s="7">
        <v>62.5</v>
      </c>
      <c r="E36" s="8">
        <v>12.5</v>
      </c>
      <c r="F36" s="12">
        <v>1.8506018518518519E-2</v>
      </c>
      <c r="G36" s="7">
        <v>34</v>
      </c>
    </row>
    <row r="37" spans="1:7" x14ac:dyDescent="0.2">
      <c r="A37" s="10" t="s">
        <v>67</v>
      </c>
      <c r="B37" s="11">
        <v>33.200000000000003</v>
      </c>
      <c r="C37" s="10">
        <v>83.05</v>
      </c>
      <c r="D37" s="10">
        <v>57.63</v>
      </c>
      <c r="E37" s="11">
        <v>25.42</v>
      </c>
      <c r="F37" s="13">
        <v>1.7848958333333335E-2</v>
      </c>
      <c r="G37" s="10">
        <v>18</v>
      </c>
    </row>
    <row r="38" spans="1:7" x14ac:dyDescent="0.2">
      <c r="A38" s="7" t="s">
        <v>115</v>
      </c>
      <c r="B38" s="8">
        <v>18.2</v>
      </c>
      <c r="C38" s="7">
        <v>75.680000000000007</v>
      </c>
      <c r="D38" s="7">
        <v>51.35</v>
      </c>
      <c r="E38" s="8">
        <v>24.32</v>
      </c>
      <c r="F38" s="12">
        <v>2.1701388888888892E-2</v>
      </c>
      <c r="G38" s="7">
        <v>27</v>
      </c>
    </row>
    <row r="39" spans="1:7" x14ac:dyDescent="0.2">
      <c r="A39" s="10" t="s">
        <v>125</v>
      </c>
      <c r="B39" s="11">
        <v>29.7</v>
      </c>
      <c r="C39" s="10">
        <v>79.17</v>
      </c>
      <c r="D39" s="10">
        <v>58.33</v>
      </c>
      <c r="E39" s="11">
        <v>20.83</v>
      </c>
      <c r="F39" s="13">
        <v>2.0270023148148148E-2</v>
      </c>
      <c r="G39" s="10">
        <v>21</v>
      </c>
    </row>
    <row r="40" spans="1:7" x14ac:dyDescent="0.2">
      <c r="A40" s="7" t="s">
        <v>76</v>
      </c>
      <c r="B40" s="8">
        <v>38.4</v>
      </c>
      <c r="C40" s="7">
        <v>82.14</v>
      </c>
      <c r="D40" s="7">
        <v>67.86</v>
      </c>
      <c r="E40" s="8">
        <v>14.29</v>
      </c>
      <c r="F40" s="12">
        <v>1.7925347222222224E-2</v>
      </c>
      <c r="G40" s="7">
        <v>20</v>
      </c>
    </row>
    <row r="41" spans="1:7" x14ac:dyDescent="0.2">
      <c r="A41" s="10" t="s">
        <v>68</v>
      </c>
      <c r="B41" s="11">
        <v>26.3</v>
      </c>
      <c r="C41" s="10">
        <v>75.930000000000007</v>
      </c>
      <c r="D41" s="10">
        <v>51.85</v>
      </c>
      <c r="E41" s="11">
        <v>24.07</v>
      </c>
      <c r="F41" s="13">
        <v>2.1696064814814814E-2</v>
      </c>
      <c r="G41" s="10">
        <v>22</v>
      </c>
    </row>
    <row r="42" spans="1:7" x14ac:dyDescent="0.2">
      <c r="A42" s="7" t="s">
        <v>52</v>
      </c>
      <c r="B42" s="8">
        <v>24.8</v>
      </c>
      <c r="C42" s="7">
        <v>89.74</v>
      </c>
      <c r="D42" s="7">
        <v>61.54</v>
      </c>
      <c r="E42" s="8">
        <v>28.21</v>
      </c>
      <c r="F42" s="12">
        <v>2.1603935185185188E-2</v>
      </c>
      <c r="G42" s="7">
        <v>22</v>
      </c>
    </row>
    <row r="43" spans="1:7" x14ac:dyDescent="0.2">
      <c r="A43" s="10" t="s">
        <v>118</v>
      </c>
      <c r="B43" s="11">
        <v>15.3</v>
      </c>
      <c r="C43" s="10">
        <v>69.7</v>
      </c>
      <c r="D43" s="10">
        <v>42.42</v>
      </c>
      <c r="E43" s="11">
        <v>27.27</v>
      </c>
      <c r="F43" s="13">
        <v>2.0644328703703703E-2</v>
      </c>
      <c r="G43" s="10">
        <v>23</v>
      </c>
    </row>
    <row r="44" spans="1:7" x14ac:dyDescent="0.2">
      <c r="A44" s="7" t="s">
        <v>36</v>
      </c>
      <c r="B44" s="8">
        <v>33.200000000000003</v>
      </c>
      <c r="C44" s="7">
        <v>87.5</v>
      </c>
      <c r="D44" s="7">
        <v>64.58</v>
      </c>
      <c r="E44" s="8">
        <v>22.92</v>
      </c>
      <c r="F44" s="12">
        <v>2.1977430555555556E-2</v>
      </c>
      <c r="G44" s="7">
        <v>25</v>
      </c>
    </row>
    <row r="45" spans="1:7" x14ac:dyDescent="0.2">
      <c r="A45" s="10" t="s">
        <v>127</v>
      </c>
      <c r="B45" s="11">
        <v>20.8</v>
      </c>
      <c r="C45" s="10">
        <v>76.47</v>
      </c>
      <c r="D45" s="10">
        <v>55.88</v>
      </c>
      <c r="E45" s="11">
        <v>20.59</v>
      </c>
      <c r="F45" s="13">
        <v>2.1261574074074075E-2</v>
      </c>
      <c r="G45" s="10">
        <v>17</v>
      </c>
    </row>
    <row r="46" spans="1:7" x14ac:dyDescent="0.2">
      <c r="A46" s="7" t="s">
        <v>86</v>
      </c>
      <c r="B46" s="8">
        <v>20.5</v>
      </c>
      <c r="C46" s="7">
        <v>80</v>
      </c>
      <c r="D46" s="7">
        <v>54.29</v>
      </c>
      <c r="E46" s="8">
        <v>25.71</v>
      </c>
      <c r="F46" s="12">
        <v>1.9444444444444445E-2</v>
      </c>
      <c r="G46" s="7">
        <v>15</v>
      </c>
    </row>
    <row r="47" spans="1:7" x14ac:dyDescent="0.2">
      <c r="A47" s="10" t="s">
        <v>65</v>
      </c>
      <c r="B47" s="11">
        <v>19.2</v>
      </c>
      <c r="C47" s="10">
        <v>79.069999999999993</v>
      </c>
      <c r="D47" s="10">
        <v>48.84</v>
      </c>
      <c r="E47" s="11">
        <v>30.23</v>
      </c>
      <c r="F47" s="13">
        <v>1.7990972222222224E-2</v>
      </c>
      <c r="G47" s="10">
        <v>29</v>
      </c>
    </row>
    <row r="48" spans="1:7" x14ac:dyDescent="0.2">
      <c r="A48" s="7" t="s">
        <v>58</v>
      </c>
      <c r="B48" s="8">
        <v>33.799999999999997</v>
      </c>
      <c r="C48" s="7">
        <v>86.27</v>
      </c>
      <c r="D48" s="7">
        <v>70.59</v>
      </c>
      <c r="E48" s="8">
        <v>15.69</v>
      </c>
      <c r="F48" s="12">
        <v>2.068113425925926E-2</v>
      </c>
      <c r="G48" s="7">
        <v>22</v>
      </c>
    </row>
    <row r="49" spans="1:7" x14ac:dyDescent="0.2">
      <c r="A49" s="10" t="s">
        <v>21</v>
      </c>
      <c r="B49" s="11">
        <v>22.3</v>
      </c>
      <c r="C49" s="10">
        <v>65.790000000000006</v>
      </c>
      <c r="D49" s="10">
        <v>55.26</v>
      </c>
      <c r="E49" s="11">
        <v>10.53</v>
      </c>
      <c r="F49" s="13">
        <v>2.0394444444444444E-2</v>
      </c>
      <c r="G49" s="10">
        <v>23</v>
      </c>
    </row>
    <row r="50" spans="1:7" x14ac:dyDescent="0.2">
      <c r="A50" s="7" t="s">
        <v>12</v>
      </c>
      <c r="B50" s="8">
        <v>35.200000000000003</v>
      </c>
      <c r="C50" s="7">
        <v>86.21</v>
      </c>
      <c r="D50" s="7">
        <v>56.9</v>
      </c>
      <c r="E50" s="8">
        <v>29.31</v>
      </c>
      <c r="F50" s="12">
        <v>2.3487384259259256E-2</v>
      </c>
      <c r="G50" s="7">
        <v>10</v>
      </c>
    </row>
    <row r="51" spans="1:7" x14ac:dyDescent="0.2">
      <c r="A51" s="10" t="s">
        <v>70</v>
      </c>
      <c r="B51" s="11">
        <v>35.799999999999997</v>
      </c>
      <c r="C51" s="10">
        <v>83.93</v>
      </c>
      <c r="D51" s="10">
        <v>66.069999999999993</v>
      </c>
      <c r="E51" s="11">
        <v>17.86</v>
      </c>
      <c r="F51" s="13">
        <v>2.0837731481481481E-2</v>
      </c>
      <c r="G51" s="10">
        <v>19</v>
      </c>
    </row>
    <row r="52" spans="1:7" x14ac:dyDescent="0.2">
      <c r="A52" s="7" t="s">
        <v>78</v>
      </c>
      <c r="B52" s="8">
        <v>42.1</v>
      </c>
      <c r="C52" s="7">
        <v>92.42</v>
      </c>
      <c r="D52" s="7">
        <v>78.790000000000006</v>
      </c>
      <c r="E52" s="8">
        <v>13.64</v>
      </c>
      <c r="F52" s="12">
        <v>1.8700347222222222E-2</v>
      </c>
      <c r="G52" s="7">
        <v>23</v>
      </c>
    </row>
    <row r="53" spans="1:7" x14ac:dyDescent="0.2">
      <c r="A53" s="10" t="s">
        <v>97</v>
      </c>
      <c r="B53" s="11">
        <v>26.2</v>
      </c>
      <c r="C53" s="10">
        <v>82.61</v>
      </c>
      <c r="D53" s="10">
        <v>47.83</v>
      </c>
      <c r="E53" s="11">
        <v>34.78</v>
      </c>
      <c r="F53" s="13">
        <v>2.0520833333333332E-2</v>
      </c>
      <c r="G53" s="10">
        <v>28</v>
      </c>
    </row>
    <row r="54" spans="1:7" x14ac:dyDescent="0.2">
      <c r="A54" s="7" t="s">
        <v>60</v>
      </c>
      <c r="B54" s="8">
        <v>11.7</v>
      </c>
      <c r="C54" s="7">
        <v>71.430000000000007</v>
      </c>
      <c r="D54" s="7">
        <v>47.62</v>
      </c>
      <c r="E54" s="8">
        <v>23.81</v>
      </c>
      <c r="F54" s="12">
        <v>2.044849537037037E-2</v>
      </c>
      <c r="G54" s="7">
        <v>26</v>
      </c>
    </row>
    <row r="55" spans="1:7" x14ac:dyDescent="0.2">
      <c r="A55" s="10" t="s">
        <v>1</v>
      </c>
      <c r="B55" s="11">
        <v>19.5</v>
      </c>
      <c r="C55" s="10">
        <v>84.21</v>
      </c>
      <c r="D55" s="10">
        <v>57.89</v>
      </c>
      <c r="E55" s="11">
        <v>26.32</v>
      </c>
      <c r="F55" s="13">
        <v>2.0842939814814818E-2</v>
      </c>
      <c r="G55" s="10">
        <v>26</v>
      </c>
    </row>
    <row r="56" spans="1:7" x14ac:dyDescent="0.2">
      <c r="A56" s="7" t="s">
        <v>39</v>
      </c>
      <c r="B56" s="8">
        <v>33.799999999999997</v>
      </c>
      <c r="C56" s="7">
        <v>80</v>
      </c>
      <c r="D56" s="7">
        <v>60</v>
      </c>
      <c r="E56" s="8">
        <v>20</v>
      </c>
      <c r="F56" s="12">
        <v>1.8039583333333335E-2</v>
      </c>
      <c r="G56" s="7">
        <v>22</v>
      </c>
    </row>
    <row r="57" spans="1:7" x14ac:dyDescent="0.2">
      <c r="A57" s="10" t="s">
        <v>93</v>
      </c>
      <c r="B57" s="11">
        <v>9.8000000000000007</v>
      </c>
      <c r="C57" s="10">
        <v>63.16</v>
      </c>
      <c r="D57" s="10">
        <v>52.63</v>
      </c>
      <c r="E57" s="11">
        <v>10.53</v>
      </c>
      <c r="F57" s="13">
        <v>1.9212037037037038E-2</v>
      </c>
      <c r="G57" s="10">
        <v>21</v>
      </c>
    </row>
    <row r="58" spans="1:7" x14ac:dyDescent="0.2">
      <c r="A58" s="7" t="s">
        <v>84</v>
      </c>
      <c r="B58" s="8">
        <v>32.200000000000003</v>
      </c>
      <c r="C58" s="7">
        <v>85.71</v>
      </c>
      <c r="D58" s="7">
        <v>66.069999999999993</v>
      </c>
      <c r="E58" s="8">
        <v>19.64</v>
      </c>
      <c r="F58" s="12">
        <v>2.1726273148148147E-2</v>
      </c>
      <c r="G58" s="7">
        <v>21</v>
      </c>
    </row>
    <row r="59" spans="1:7" x14ac:dyDescent="0.2">
      <c r="A59" s="10" t="s">
        <v>104</v>
      </c>
      <c r="B59" s="11">
        <v>29.4</v>
      </c>
      <c r="C59" s="10">
        <v>80</v>
      </c>
      <c r="D59" s="10">
        <v>56</v>
      </c>
      <c r="E59" s="11">
        <v>24</v>
      </c>
      <c r="F59" s="13">
        <v>2.3136574074074077E-2</v>
      </c>
      <c r="G59" s="10">
        <v>15</v>
      </c>
    </row>
    <row r="60" spans="1:7" x14ac:dyDescent="0.2">
      <c r="A60" s="7" t="s">
        <v>91</v>
      </c>
      <c r="B60" s="8">
        <v>29</v>
      </c>
      <c r="C60" s="7">
        <v>77.36</v>
      </c>
      <c r="D60" s="7">
        <v>58.49</v>
      </c>
      <c r="E60" s="8">
        <v>18.87</v>
      </c>
      <c r="F60" s="12">
        <v>1.9579745370370369E-2</v>
      </c>
      <c r="G60" s="7">
        <v>22</v>
      </c>
    </row>
    <row r="61" spans="1:7" x14ac:dyDescent="0.2">
      <c r="A61" s="10" t="s">
        <v>107</v>
      </c>
      <c r="B61" s="11">
        <v>25.7</v>
      </c>
      <c r="C61" s="10">
        <v>89.19</v>
      </c>
      <c r="D61" s="10">
        <v>67.569999999999993</v>
      </c>
      <c r="E61" s="11">
        <v>21.62</v>
      </c>
      <c r="F61" s="13">
        <v>2.2839236111111109E-2</v>
      </c>
      <c r="G61" s="10">
        <v>16</v>
      </c>
    </row>
    <row r="62" spans="1:7" x14ac:dyDescent="0.2">
      <c r="A62" s="7" t="s">
        <v>34</v>
      </c>
      <c r="B62" s="8">
        <v>30</v>
      </c>
      <c r="C62" s="7">
        <v>73.91</v>
      </c>
      <c r="D62" s="7">
        <v>52.17</v>
      </c>
      <c r="E62" s="8">
        <v>21.74</v>
      </c>
      <c r="F62" s="12">
        <v>2.065173611111111E-2</v>
      </c>
      <c r="G62" s="7">
        <v>21</v>
      </c>
    </row>
    <row r="63" spans="1:7" x14ac:dyDescent="0.2">
      <c r="A63" s="10" t="s">
        <v>35</v>
      </c>
      <c r="B63" s="11">
        <v>27.7</v>
      </c>
      <c r="C63" s="10">
        <v>80</v>
      </c>
      <c r="D63" s="10">
        <v>63.64</v>
      </c>
      <c r="E63" s="11">
        <v>16.36</v>
      </c>
      <c r="F63" s="13">
        <v>2.3103587962962958E-2</v>
      </c>
      <c r="G63" s="10">
        <v>18</v>
      </c>
    </row>
    <row r="64" spans="1:7" x14ac:dyDescent="0.2">
      <c r="A64" s="7" t="s">
        <v>10</v>
      </c>
      <c r="B64" s="8">
        <v>39.1</v>
      </c>
      <c r="C64" s="7">
        <v>87.5</v>
      </c>
      <c r="D64" s="7">
        <v>70.31</v>
      </c>
      <c r="E64" s="8">
        <v>17.190000000000001</v>
      </c>
      <c r="F64" s="12">
        <v>2.0824189814814816E-2</v>
      </c>
      <c r="G64" s="7">
        <v>16</v>
      </c>
    </row>
    <row r="65" spans="1:7" x14ac:dyDescent="0.2">
      <c r="A65" s="10" t="s">
        <v>49</v>
      </c>
      <c r="B65" s="11">
        <v>33.5</v>
      </c>
      <c r="C65" s="10">
        <v>86.89</v>
      </c>
      <c r="D65" s="10">
        <v>68.849999999999994</v>
      </c>
      <c r="E65" s="11">
        <v>18.03</v>
      </c>
      <c r="F65" s="13">
        <v>2.1948842592592593E-2</v>
      </c>
      <c r="G65" s="10">
        <v>10</v>
      </c>
    </row>
    <row r="66" spans="1:7" x14ac:dyDescent="0.2">
      <c r="A66" s="7" t="s">
        <v>83</v>
      </c>
      <c r="B66" s="8">
        <v>31.9</v>
      </c>
      <c r="C66" s="7">
        <v>88</v>
      </c>
      <c r="D66" s="7">
        <v>68</v>
      </c>
      <c r="E66" s="8">
        <v>20</v>
      </c>
      <c r="F66" s="12">
        <v>2.0370370370370369E-2</v>
      </c>
      <c r="G66" s="7">
        <v>29</v>
      </c>
    </row>
    <row r="67" spans="1:7" x14ac:dyDescent="0.2">
      <c r="A67" s="10" t="s">
        <v>69</v>
      </c>
      <c r="B67" s="11">
        <v>26.9</v>
      </c>
      <c r="C67" s="10">
        <v>82.69</v>
      </c>
      <c r="D67" s="10">
        <v>65.38</v>
      </c>
      <c r="E67" s="11">
        <v>17.309999999999999</v>
      </c>
      <c r="F67" s="13">
        <v>2.2516435185185188E-2</v>
      </c>
      <c r="G67" s="10">
        <v>11</v>
      </c>
    </row>
    <row r="68" spans="1:7" x14ac:dyDescent="0.2">
      <c r="A68" s="7" t="s">
        <v>111</v>
      </c>
      <c r="B68" s="8">
        <v>32.799999999999997</v>
      </c>
      <c r="C68" s="7">
        <v>90.48</v>
      </c>
      <c r="D68" s="7">
        <v>71.430000000000007</v>
      </c>
      <c r="E68" s="8">
        <v>19.05</v>
      </c>
      <c r="F68" s="12">
        <v>2.2462384259259258E-2</v>
      </c>
      <c r="G68" s="7">
        <v>14</v>
      </c>
    </row>
    <row r="69" spans="1:7" x14ac:dyDescent="0.2">
      <c r="A69" s="10" t="s">
        <v>50</v>
      </c>
      <c r="B69" s="11">
        <v>20.9</v>
      </c>
      <c r="C69" s="10">
        <v>91.43</v>
      </c>
      <c r="D69" s="10">
        <v>68.569999999999993</v>
      </c>
      <c r="E69" s="11">
        <v>22.86</v>
      </c>
      <c r="F69" s="13">
        <v>2.0433101851851852E-2</v>
      </c>
      <c r="G69" s="10">
        <v>26</v>
      </c>
    </row>
    <row r="70" spans="1:7" x14ac:dyDescent="0.2">
      <c r="A70" s="7" t="s">
        <v>82</v>
      </c>
      <c r="B70" s="8">
        <v>32.700000000000003</v>
      </c>
      <c r="C70" s="7">
        <v>89.36</v>
      </c>
      <c r="D70" s="7">
        <v>65.959999999999994</v>
      </c>
      <c r="E70" s="8">
        <v>23.4</v>
      </c>
      <c r="F70" s="12">
        <v>1.9223611111111111E-2</v>
      </c>
      <c r="G70" s="7">
        <v>18</v>
      </c>
    </row>
    <row r="71" spans="1:7" x14ac:dyDescent="0.2">
      <c r="A71" s="10" t="s">
        <v>46</v>
      </c>
      <c r="B71" s="11">
        <v>22.8</v>
      </c>
      <c r="C71" s="10">
        <v>76.92</v>
      </c>
      <c r="D71" s="10">
        <v>43.59</v>
      </c>
      <c r="E71" s="11">
        <v>33.33</v>
      </c>
      <c r="F71" s="13">
        <v>2.2143171296296296E-2</v>
      </c>
      <c r="G71" s="10">
        <v>21</v>
      </c>
    </row>
    <row r="72" spans="1:7" x14ac:dyDescent="0.2">
      <c r="A72" s="7" t="s">
        <v>16</v>
      </c>
      <c r="B72" s="8">
        <v>31.8</v>
      </c>
      <c r="C72" s="7">
        <v>84.09</v>
      </c>
      <c r="D72" s="7">
        <v>68.180000000000007</v>
      </c>
      <c r="E72" s="8">
        <v>15.91</v>
      </c>
      <c r="F72" s="12">
        <v>2.2378935185185186E-2</v>
      </c>
      <c r="G72" s="7">
        <v>23</v>
      </c>
    </row>
    <row r="73" spans="1:7" x14ac:dyDescent="0.2">
      <c r="A73" s="10" t="s">
        <v>51</v>
      </c>
      <c r="B73" s="11">
        <v>39.6</v>
      </c>
      <c r="C73" s="10">
        <v>85.14</v>
      </c>
      <c r="D73" s="10">
        <v>66.22</v>
      </c>
      <c r="E73" s="11">
        <v>18.920000000000002</v>
      </c>
      <c r="F73" s="13">
        <v>1.9824768518518519E-2</v>
      </c>
      <c r="G73" s="10">
        <v>17</v>
      </c>
    </row>
    <row r="74" spans="1:7" x14ac:dyDescent="0.2">
      <c r="A74" s="7" t="s">
        <v>55</v>
      </c>
      <c r="B74" s="8">
        <v>26.2</v>
      </c>
      <c r="C74" s="7">
        <v>95.65</v>
      </c>
      <c r="D74" s="7">
        <v>52.17</v>
      </c>
      <c r="E74" s="8">
        <v>43.48</v>
      </c>
      <c r="F74" s="12">
        <v>2.0317361111111112E-2</v>
      </c>
      <c r="G74" s="7">
        <v>20</v>
      </c>
    </row>
    <row r="75" spans="1:7" x14ac:dyDescent="0.2">
      <c r="A75" s="10" t="s">
        <v>23</v>
      </c>
      <c r="B75" s="11">
        <v>27.2</v>
      </c>
      <c r="C75" s="10">
        <v>80</v>
      </c>
      <c r="D75" s="10">
        <v>53.33</v>
      </c>
      <c r="E75" s="11">
        <v>26.67</v>
      </c>
      <c r="F75" s="13">
        <v>2.0214583333333334E-2</v>
      </c>
      <c r="G75" s="10">
        <v>17</v>
      </c>
    </row>
    <row r="76" spans="1:7" x14ac:dyDescent="0.2">
      <c r="A76" s="7" t="s">
        <v>13</v>
      </c>
      <c r="B76" s="8">
        <v>27.4</v>
      </c>
      <c r="C76" s="7">
        <v>81.819999999999993</v>
      </c>
      <c r="D76" s="7">
        <v>54.55</v>
      </c>
      <c r="E76" s="8">
        <v>27.27</v>
      </c>
      <c r="F76" s="12">
        <v>1.888715277777778E-2</v>
      </c>
      <c r="G76" s="7">
        <v>24</v>
      </c>
    </row>
    <row r="77" spans="1:7" x14ac:dyDescent="0.2">
      <c r="A77" s="10" t="s">
        <v>4</v>
      </c>
      <c r="B77" s="11">
        <v>45.5</v>
      </c>
      <c r="C77" s="10">
        <v>95.24</v>
      </c>
      <c r="D77" s="10">
        <v>84.13</v>
      </c>
      <c r="E77" s="11">
        <v>11.11</v>
      </c>
      <c r="F77" s="13">
        <v>2.1812152777777778E-2</v>
      </c>
      <c r="G77" s="10">
        <v>19</v>
      </c>
    </row>
    <row r="78" spans="1:7" x14ac:dyDescent="0.2">
      <c r="A78" s="7" t="s">
        <v>3</v>
      </c>
      <c r="B78" s="8">
        <v>32.799999999999997</v>
      </c>
      <c r="C78" s="7">
        <v>87.27</v>
      </c>
      <c r="D78" s="7">
        <v>52.73</v>
      </c>
      <c r="E78" s="8">
        <v>34.549999999999997</v>
      </c>
      <c r="F78" s="12">
        <v>2.2430555555555554E-2</v>
      </c>
      <c r="G78" s="7">
        <v>16</v>
      </c>
    </row>
    <row r="79" spans="1:7" x14ac:dyDescent="0.2">
      <c r="A79" s="10" t="s">
        <v>2</v>
      </c>
      <c r="B79" s="11">
        <v>39.1</v>
      </c>
      <c r="C79" s="10">
        <v>87.5</v>
      </c>
      <c r="D79" s="10">
        <v>75</v>
      </c>
      <c r="E79" s="11">
        <v>12.5</v>
      </c>
      <c r="F79" s="13">
        <v>1.8569212962962964E-2</v>
      </c>
      <c r="G79" s="10">
        <v>18</v>
      </c>
    </row>
    <row r="80" spans="1:7" x14ac:dyDescent="0.2">
      <c r="A80" s="7" t="s">
        <v>18</v>
      </c>
      <c r="B80" s="8">
        <v>45.5</v>
      </c>
      <c r="C80" s="7">
        <v>78.38</v>
      </c>
      <c r="D80" s="7">
        <v>66.22</v>
      </c>
      <c r="E80" s="8">
        <v>12.16</v>
      </c>
      <c r="F80" s="12">
        <v>1.7743981481481482E-2</v>
      </c>
      <c r="G80" s="7">
        <v>18</v>
      </c>
    </row>
    <row r="81" spans="1:7" x14ac:dyDescent="0.2">
      <c r="A81" s="10" t="s">
        <v>112</v>
      </c>
      <c r="B81" s="11">
        <v>34.799999999999997</v>
      </c>
      <c r="C81" s="10">
        <v>79.41</v>
      </c>
      <c r="D81" s="10">
        <v>63.24</v>
      </c>
      <c r="E81" s="11">
        <v>16.18</v>
      </c>
      <c r="F81" s="13">
        <v>2.2498263888888887E-2</v>
      </c>
      <c r="G81" s="10">
        <v>26</v>
      </c>
    </row>
    <row r="82" spans="1:7" x14ac:dyDescent="0.2">
      <c r="A82" s="7" t="s">
        <v>6</v>
      </c>
      <c r="B82" s="8">
        <v>28.7</v>
      </c>
      <c r="C82" s="7">
        <v>80.39</v>
      </c>
      <c r="D82" s="7">
        <v>62.75</v>
      </c>
      <c r="E82" s="8">
        <v>17.649999999999999</v>
      </c>
      <c r="F82" s="12">
        <v>2.082847222222222E-2</v>
      </c>
      <c r="G82" s="7">
        <v>22</v>
      </c>
    </row>
    <row r="83" spans="1:7" x14ac:dyDescent="0.2">
      <c r="A83" s="10" t="s">
        <v>99</v>
      </c>
      <c r="B83" s="11">
        <v>26.3</v>
      </c>
      <c r="C83" s="10">
        <v>84.44</v>
      </c>
      <c r="D83" s="10">
        <v>64.44</v>
      </c>
      <c r="E83" s="11">
        <v>20</v>
      </c>
      <c r="F83" s="13">
        <v>2.1382638888888889E-2</v>
      </c>
      <c r="G83" s="10">
        <v>17</v>
      </c>
    </row>
    <row r="84" spans="1:7" x14ac:dyDescent="0.2">
      <c r="A84" s="7" t="s">
        <v>96</v>
      </c>
      <c r="B84" s="8">
        <v>14.9</v>
      </c>
      <c r="C84" s="7">
        <v>73.08</v>
      </c>
      <c r="D84" s="7">
        <v>57.69</v>
      </c>
      <c r="E84" s="8">
        <v>15.38</v>
      </c>
      <c r="F84" s="12">
        <v>1.9153125E-2</v>
      </c>
      <c r="G84" s="7">
        <v>22</v>
      </c>
    </row>
    <row r="85" spans="1:7" x14ac:dyDescent="0.2">
      <c r="A85" s="10" t="s">
        <v>123</v>
      </c>
      <c r="B85" s="11">
        <v>29.6</v>
      </c>
      <c r="C85" s="10">
        <v>90.38</v>
      </c>
      <c r="D85" s="10">
        <v>76.92</v>
      </c>
      <c r="E85" s="11">
        <v>13.46</v>
      </c>
      <c r="F85" s="13">
        <v>2.2766203703703702E-2</v>
      </c>
      <c r="G85" s="10">
        <v>19</v>
      </c>
    </row>
    <row r="86" spans="1:7" x14ac:dyDescent="0.2">
      <c r="A86" s="7" t="s">
        <v>119</v>
      </c>
      <c r="B86" s="8">
        <v>26.5</v>
      </c>
      <c r="C86" s="7">
        <v>76.36</v>
      </c>
      <c r="D86" s="7">
        <v>54.55</v>
      </c>
      <c r="E86" s="8">
        <v>21.82</v>
      </c>
      <c r="F86" s="12">
        <v>2.0355208333333333E-2</v>
      </c>
      <c r="G86" s="7">
        <v>30</v>
      </c>
    </row>
    <row r="87" spans="1:7" x14ac:dyDescent="0.2">
      <c r="A87" s="10" t="s">
        <v>48</v>
      </c>
      <c r="B87" s="11">
        <v>29.8</v>
      </c>
      <c r="C87" s="10">
        <v>71.150000000000006</v>
      </c>
      <c r="D87" s="10">
        <v>59.62</v>
      </c>
      <c r="E87" s="11">
        <v>11.54</v>
      </c>
      <c r="F87" s="13">
        <v>2.225162037037037E-2</v>
      </c>
      <c r="G87" s="10">
        <v>30</v>
      </c>
    </row>
    <row r="88" spans="1:7" x14ac:dyDescent="0.2">
      <c r="A88" s="7" t="s">
        <v>124</v>
      </c>
      <c r="B88" s="8">
        <v>32.4</v>
      </c>
      <c r="C88" s="7">
        <v>79.55</v>
      </c>
      <c r="D88" s="7">
        <v>50</v>
      </c>
      <c r="E88" s="8">
        <v>29.55</v>
      </c>
      <c r="F88" s="12">
        <v>2.1273148148148149E-2</v>
      </c>
      <c r="G88" s="7">
        <v>22</v>
      </c>
    </row>
    <row r="89" spans="1:7" x14ac:dyDescent="0.2">
      <c r="A89" s="10" t="s">
        <v>7</v>
      </c>
      <c r="B89" s="11">
        <v>26.8</v>
      </c>
      <c r="C89" s="10">
        <v>78</v>
      </c>
      <c r="D89" s="10">
        <v>54</v>
      </c>
      <c r="E89" s="11">
        <v>24</v>
      </c>
      <c r="F89" s="13">
        <v>2.0090624999999997E-2</v>
      </c>
      <c r="G89" s="10">
        <v>24</v>
      </c>
    </row>
    <row r="90" spans="1:7" x14ac:dyDescent="0.2">
      <c r="A90" s="7" t="s">
        <v>116</v>
      </c>
      <c r="B90" s="8">
        <v>29.4</v>
      </c>
      <c r="C90" s="7">
        <v>80</v>
      </c>
      <c r="D90" s="7">
        <v>58</v>
      </c>
      <c r="E90" s="8">
        <v>22</v>
      </c>
      <c r="F90" s="12">
        <v>2.1062847222222222E-2</v>
      </c>
      <c r="G90" s="7">
        <v>13</v>
      </c>
    </row>
    <row r="91" spans="1:7" x14ac:dyDescent="0.2">
      <c r="A91" s="10" t="s">
        <v>98</v>
      </c>
      <c r="B91" s="11">
        <v>34.1</v>
      </c>
      <c r="C91" s="10">
        <v>86.54</v>
      </c>
      <c r="D91" s="10">
        <v>71.150000000000006</v>
      </c>
      <c r="E91" s="11">
        <v>15.38</v>
      </c>
      <c r="F91" s="13">
        <v>2.2232870370370372E-2</v>
      </c>
      <c r="G91" s="10">
        <v>17</v>
      </c>
    </row>
    <row r="92" spans="1:7" x14ac:dyDescent="0.2">
      <c r="A92" s="7" t="s">
        <v>15</v>
      </c>
      <c r="B92" s="8">
        <v>13.8</v>
      </c>
      <c r="C92" s="7">
        <v>73.680000000000007</v>
      </c>
      <c r="D92" s="7">
        <v>36.840000000000003</v>
      </c>
      <c r="E92" s="8">
        <v>36.840000000000003</v>
      </c>
      <c r="F92" s="12">
        <v>1.9772337962962964E-2</v>
      </c>
      <c r="G92" s="7">
        <v>28</v>
      </c>
    </row>
    <row r="93" spans="1:7" x14ac:dyDescent="0.2">
      <c r="A93" s="10" t="s">
        <v>47</v>
      </c>
      <c r="B93" s="11">
        <v>17.100000000000001</v>
      </c>
      <c r="C93" s="10">
        <v>73.53</v>
      </c>
      <c r="D93" s="10">
        <v>50</v>
      </c>
      <c r="E93" s="11">
        <v>23.53</v>
      </c>
      <c r="F93" s="13">
        <v>1.8947685185185185E-2</v>
      </c>
      <c r="G93" s="10">
        <v>38</v>
      </c>
    </row>
    <row r="94" spans="1:7" x14ac:dyDescent="0.2">
      <c r="A94" s="7" t="s">
        <v>37</v>
      </c>
      <c r="B94" s="8">
        <v>32.299999999999997</v>
      </c>
      <c r="C94" s="7">
        <v>90.38</v>
      </c>
      <c r="D94" s="7">
        <v>57.69</v>
      </c>
      <c r="E94" s="8">
        <v>32.69</v>
      </c>
      <c r="F94" s="12">
        <v>2.2056018518518516E-2</v>
      </c>
      <c r="G94" s="7">
        <v>19</v>
      </c>
    </row>
    <row r="95" spans="1:7" x14ac:dyDescent="0.2">
      <c r="A95" s="10" t="s">
        <v>75</v>
      </c>
      <c r="B95" s="11">
        <v>22.7</v>
      </c>
      <c r="C95" s="10">
        <v>80.430000000000007</v>
      </c>
      <c r="D95" s="10">
        <v>63.04</v>
      </c>
      <c r="E95" s="11">
        <v>17.39</v>
      </c>
      <c r="F95" s="13">
        <v>2.1132523148148147E-2</v>
      </c>
      <c r="G95" s="10">
        <v>22</v>
      </c>
    </row>
    <row r="96" spans="1:7" x14ac:dyDescent="0.2">
      <c r="A96" s="7" t="s">
        <v>27</v>
      </c>
      <c r="B96" s="8">
        <v>25.1</v>
      </c>
      <c r="C96" s="7">
        <v>87.8</v>
      </c>
      <c r="D96" s="7">
        <v>63.41</v>
      </c>
      <c r="E96" s="8">
        <v>24.39</v>
      </c>
      <c r="F96" s="12">
        <v>2.1100462962962963E-2</v>
      </c>
      <c r="G96" s="7">
        <v>30</v>
      </c>
    </row>
    <row r="97" spans="1:7" x14ac:dyDescent="0.2">
      <c r="A97" s="10" t="s">
        <v>90</v>
      </c>
      <c r="B97" s="11">
        <v>24.9</v>
      </c>
      <c r="C97" s="10">
        <v>78.38</v>
      </c>
      <c r="D97" s="10">
        <v>70.27</v>
      </c>
      <c r="E97" s="11">
        <v>8.11</v>
      </c>
      <c r="F97" s="13">
        <v>1.9779166666666667E-2</v>
      </c>
      <c r="G97" s="10">
        <v>19</v>
      </c>
    </row>
    <row r="98" spans="1:7" x14ac:dyDescent="0.2">
      <c r="A98" s="7" t="s">
        <v>117</v>
      </c>
      <c r="B98" s="8">
        <v>23.8</v>
      </c>
      <c r="C98" s="7">
        <v>77.27</v>
      </c>
      <c r="D98" s="7">
        <v>56.82</v>
      </c>
      <c r="E98" s="8">
        <v>20.45</v>
      </c>
      <c r="F98" s="12">
        <v>2.0012499999999999E-2</v>
      </c>
      <c r="G98" s="7">
        <v>24</v>
      </c>
    </row>
    <row r="99" spans="1:7" x14ac:dyDescent="0.2">
      <c r="A99" s="10" t="s">
        <v>61</v>
      </c>
      <c r="B99" s="11">
        <v>29.3</v>
      </c>
      <c r="C99" s="10">
        <v>88.1</v>
      </c>
      <c r="D99" s="10">
        <v>57.14</v>
      </c>
      <c r="E99" s="11">
        <v>30.95</v>
      </c>
      <c r="F99" s="13">
        <v>2.1030092592592597E-2</v>
      </c>
      <c r="G99" s="10">
        <v>22</v>
      </c>
    </row>
    <row r="100" spans="1:7" x14ac:dyDescent="0.2">
      <c r="A100" s="7" t="s">
        <v>43</v>
      </c>
      <c r="B100" s="8">
        <v>44.2</v>
      </c>
      <c r="C100" s="7">
        <v>80.819999999999993</v>
      </c>
      <c r="D100" s="7">
        <v>72.599999999999994</v>
      </c>
      <c r="E100" s="8">
        <v>8.2200000000000006</v>
      </c>
      <c r="F100" s="12">
        <v>1.8572800925925923E-2</v>
      </c>
      <c r="G100" s="7">
        <v>21</v>
      </c>
    </row>
    <row r="101" spans="1:7" x14ac:dyDescent="0.2">
      <c r="A101" s="10" t="s">
        <v>121</v>
      </c>
      <c r="B101" s="11">
        <v>23.9</v>
      </c>
      <c r="C101" s="10">
        <v>81.08</v>
      </c>
      <c r="D101" s="10">
        <v>67.569999999999993</v>
      </c>
      <c r="E101" s="11">
        <v>13.51</v>
      </c>
      <c r="F101" s="13">
        <v>2.215763888888889E-2</v>
      </c>
      <c r="G101" s="10">
        <v>17</v>
      </c>
    </row>
    <row r="102" spans="1:7" x14ac:dyDescent="0.2">
      <c r="A102" s="7" t="s">
        <v>28</v>
      </c>
      <c r="B102" s="8">
        <v>35.799999999999997</v>
      </c>
      <c r="C102" s="7">
        <v>88.57</v>
      </c>
      <c r="D102" s="7">
        <v>57.14</v>
      </c>
      <c r="E102" s="8">
        <v>31.43</v>
      </c>
      <c r="F102" s="12">
        <v>1.9738194444444444E-2</v>
      </c>
      <c r="G102" s="7">
        <v>33</v>
      </c>
    </row>
    <row r="103" spans="1:7" x14ac:dyDescent="0.2">
      <c r="A103" s="10" t="s">
        <v>14</v>
      </c>
      <c r="B103" s="11">
        <v>33</v>
      </c>
      <c r="C103" s="10">
        <v>85.42</v>
      </c>
      <c r="D103" s="10">
        <v>58.33</v>
      </c>
      <c r="E103" s="11">
        <v>27.08</v>
      </c>
      <c r="F103" s="13">
        <v>2.0333680555555556E-2</v>
      </c>
      <c r="G103" s="10">
        <v>16</v>
      </c>
    </row>
    <row r="104" spans="1:7" x14ac:dyDescent="0.2">
      <c r="A104" s="7" t="s">
        <v>53</v>
      </c>
      <c r="B104" s="8">
        <v>34.1</v>
      </c>
      <c r="C104" s="7">
        <v>79.25</v>
      </c>
      <c r="D104" s="7">
        <v>66.040000000000006</v>
      </c>
      <c r="E104" s="8">
        <v>13.21</v>
      </c>
      <c r="F104" s="12">
        <v>2.0528587962962964E-2</v>
      </c>
      <c r="G104" s="7">
        <v>18</v>
      </c>
    </row>
    <row r="105" spans="1:7" x14ac:dyDescent="0.2">
      <c r="A105" s="10" t="s">
        <v>74</v>
      </c>
      <c r="B105" s="11">
        <v>24.8</v>
      </c>
      <c r="C105" s="10">
        <v>80.489999999999995</v>
      </c>
      <c r="D105" s="10">
        <v>60.98</v>
      </c>
      <c r="E105" s="11">
        <v>19.510000000000002</v>
      </c>
      <c r="F105" s="13">
        <v>2.0866319444444444E-2</v>
      </c>
      <c r="G105" s="10">
        <v>24</v>
      </c>
    </row>
    <row r="106" spans="1:7" x14ac:dyDescent="0.2">
      <c r="A106" s="7" t="s">
        <v>59</v>
      </c>
      <c r="B106" s="8">
        <v>21.1</v>
      </c>
      <c r="C106" s="7">
        <v>78.72</v>
      </c>
      <c r="D106" s="7">
        <v>46.81</v>
      </c>
      <c r="E106" s="8">
        <v>31.91</v>
      </c>
      <c r="F106" s="12">
        <v>1.9596875E-2</v>
      </c>
      <c r="G106" s="7">
        <v>34</v>
      </c>
    </row>
    <row r="107" spans="1:7" x14ac:dyDescent="0.2">
      <c r="A107" s="10" t="s">
        <v>56</v>
      </c>
      <c r="B107" s="11">
        <v>26.3</v>
      </c>
      <c r="C107" s="10">
        <v>86.49</v>
      </c>
      <c r="D107" s="10">
        <v>51.35</v>
      </c>
      <c r="E107" s="11">
        <v>35.14</v>
      </c>
      <c r="F107" s="13">
        <v>2.1244212962962961E-2</v>
      </c>
      <c r="G107" s="10">
        <v>20</v>
      </c>
    </row>
    <row r="108" spans="1:7" x14ac:dyDescent="0.2">
      <c r="A108" s="7" t="s">
        <v>0</v>
      </c>
      <c r="B108" s="8">
        <v>34.6</v>
      </c>
      <c r="C108" s="7">
        <v>86.57</v>
      </c>
      <c r="D108" s="7">
        <v>59.7</v>
      </c>
      <c r="E108" s="8">
        <v>26.87</v>
      </c>
      <c r="F108" s="12">
        <v>2.2358449074074079E-2</v>
      </c>
      <c r="G108" s="7">
        <v>21</v>
      </c>
    </row>
    <row r="109" spans="1:7" x14ac:dyDescent="0.2">
      <c r="A109" s="10" t="s">
        <v>31</v>
      </c>
      <c r="B109" s="11">
        <v>36.9</v>
      </c>
      <c r="C109" s="10">
        <v>85.94</v>
      </c>
      <c r="D109" s="10">
        <v>71.88</v>
      </c>
      <c r="E109" s="11">
        <v>14.06</v>
      </c>
      <c r="F109" s="13">
        <v>2.017534722222222E-2</v>
      </c>
      <c r="G109" s="10">
        <v>16</v>
      </c>
    </row>
    <row r="110" spans="1:7" x14ac:dyDescent="0.2">
      <c r="A110" s="7" t="s">
        <v>62</v>
      </c>
      <c r="B110" s="8">
        <v>29.9</v>
      </c>
      <c r="C110" s="7">
        <v>77.78</v>
      </c>
      <c r="D110" s="7">
        <v>66.67</v>
      </c>
      <c r="E110" s="8">
        <v>11.11</v>
      </c>
      <c r="F110" s="12">
        <v>2.0706944444444444E-2</v>
      </c>
      <c r="G110" s="7">
        <v>15</v>
      </c>
    </row>
    <row r="111" spans="1:7" x14ac:dyDescent="0.2">
      <c r="A111" s="10" t="s">
        <v>26</v>
      </c>
      <c r="B111" s="11">
        <v>29.7</v>
      </c>
      <c r="C111" s="10">
        <v>92.5</v>
      </c>
      <c r="D111" s="10">
        <v>67.5</v>
      </c>
      <c r="E111" s="11">
        <v>25</v>
      </c>
      <c r="F111" s="13">
        <v>2.2966319444444442E-2</v>
      </c>
      <c r="G111" s="10">
        <v>17</v>
      </c>
    </row>
    <row r="112" spans="1:7" x14ac:dyDescent="0.2">
      <c r="A112" s="7" t="s">
        <v>57</v>
      </c>
      <c r="B112" s="8">
        <v>29.2</v>
      </c>
      <c r="C112" s="7">
        <v>83.33</v>
      </c>
      <c r="D112" s="7">
        <v>64.290000000000006</v>
      </c>
      <c r="E112" s="8">
        <v>19.05</v>
      </c>
      <c r="F112" s="12">
        <v>2.1049421296296295E-2</v>
      </c>
      <c r="G112" s="7">
        <v>25</v>
      </c>
    </row>
    <row r="113" spans="1:7" x14ac:dyDescent="0.2">
      <c r="A113" s="10" t="s">
        <v>44</v>
      </c>
      <c r="B113" s="11">
        <v>31.8</v>
      </c>
      <c r="C113" s="10">
        <v>85.25</v>
      </c>
      <c r="D113" s="10">
        <v>65.569999999999993</v>
      </c>
      <c r="E113" s="11">
        <v>19.670000000000002</v>
      </c>
      <c r="F113" s="13">
        <v>2.167662037037037E-2</v>
      </c>
      <c r="G113" s="10">
        <v>19</v>
      </c>
    </row>
    <row r="114" spans="1:7" x14ac:dyDescent="0.2">
      <c r="A114" s="7" t="s">
        <v>128</v>
      </c>
      <c r="B114" s="8">
        <v>21.8</v>
      </c>
      <c r="C114" s="7">
        <v>69.44</v>
      </c>
      <c r="D114" s="7">
        <v>55.56</v>
      </c>
      <c r="E114" s="8">
        <v>13.89</v>
      </c>
      <c r="F114" s="12">
        <v>2.2528935185185187E-2</v>
      </c>
      <c r="G114" s="7">
        <v>18</v>
      </c>
    </row>
    <row r="115" spans="1:7" x14ac:dyDescent="0.2">
      <c r="A115" s="10" t="s">
        <v>102</v>
      </c>
      <c r="B115" s="11">
        <v>25.6</v>
      </c>
      <c r="C115" s="10">
        <v>85.37</v>
      </c>
      <c r="D115" s="10">
        <v>60.98</v>
      </c>
      <c r="E115" s="11">
        <v>24.39</v>
      </c>
      <c r="F115" s="13">
        <v>2.2500925925925924E-2</v>
      </c>
      <c r="G115" s="10">
        <v>21</v>
      </c>
    </row>
    <row r="116" spans="1:7" x14ac:dyDescent="0.2">
      <c r="A116" s="7" t="s">
        <v>92</v>
      </c>
      <c r="B116" s="8">
        <v>30.1</v>
      </c>
      <c r="C116" s="7">
        <v>89.29</v>
      </c>
      <c r="D116" s="7">
        <v>66.069999999999993</v>
      </c>
      <c r="E116" s="8">
        <v>23.21</v>
      </c>
      <c r="F116" s="12">
        <v>2.2006712962962961E-2</v>
      </c>
      <c r="G116" s="7">
        <v>23</v>
      </c>
    </row>
    <row r="117" spans="1:7" x14ac:dyDescent="0.2">
      <c r="A117" s="10" t="s">
        <v>100</v>
      </c>
      <c r="B117" s="11">
        <v>19.8</v>
      </c>
      <c r="C117" s="10">
        <v>80.489999999999995</v>
      </c>
      <c r="D117" s="10">
        <v>51.22</v>
      </c>
      <c r="E117" s="11">
        <v>29.27</v>
      </c>
      <c r="F117" s="13">
        <v>2.3180902777777776E-2</v>
      </c>
      <c r="G117" s="10">
        <v>26</v>
      </c>
    </row>
    <row r="118" spans="1:7" x14ac:dyDescent="0.2">
      <c r="A118" s="7" t="s">
        <v>64</v>
      </c>
      <c r="B118" s="8">
        <v>22.5</v>
      </c>
      <c r="C118" s="7">
        <v>73.81</v>
      </c>
      <c r="D118" s="7">
        <v>54.76</v>
      </c>
      <c r="E118" s="8">
        <v>19.05</v>
      </c>
      <c r="F118" s="12">
        <v>2.3131249999999996E-2</v>
      </c>
      <c r="G118" s="7">
        <v>19</v>
      </c>
    </row>
    <row r="119" spans="1:7" x14ac:dyDescent="0.2">
      <c r="A119" s="10" t="s">
        <v>32</v>
      </c>
      <c r="B119" s="11">
        <v>18.3</v>
      </c>
      <c r="C119" s="10">
        <v>82.14</v>
      </c>
      <c r="D119" s="10">
        <v>64.290000000000006</v>
      </c>
      <c r="E119" s="11">
        <v>17.86</v>
      </c>
      <c r="F119" s="13">
        <v>2.0616319444444444E-2</v>
      </c>
      <c r="G119" s="10">
        <v>23</v>
      </c>
    </row>
    <row r="120" spans="1:7" x14ac:dyDescent="0.2">
      <c r="A120" s="7" t="s">
        <v>17</v>
      </c>
      <c r="B120" s="8">
        <v>37.9</v>
      </c>
      <c r="C120" s="7">
        <v>88.52</v>
      </c>
      <c r="D120" s="7">
        <v>75.41</v>
      </c>
      <c r="E120" s="8">
        <v>13.11</v>
      </c>
      <c r="F120" s="12">
        <v>1.9921643518518519E-2</v>
      </c>
      <c r="G120" s="7">
        <v>16</v>
      </c>
    </row>
    <row r="121" spans="1:7" x14ac:dyDescent="0.2">
      <c r="A121" s="10" t="s">
        <v>41</v>
      </c>
      <c r="B121" s="11">
        <v>31</v>
      </c>
      <c r="C121" s="10">
        <v>78.430000000000007</v>
      </c>
      <c r="D121" s="10">
        <v>62.75</v>
      </c>
      <c r="E121" s="11">
        <v>15.69</v>
      </c>
      <c r="F121" s="13">
        <v>1.987627314814815E-2</v>
      </c>
      <c r="G121" s="10">
        <v>35</v>
      </c>
    </row>
    <row r="122" spans="1:7" x14ac:dyDescent="0.2">
      <c r="A122" s="7" t="s">
        <v>20</v>
      </c>
      <c r="B122" s="8">
        <v>26.3</v>
      </c>
      <c r="C122" s="7">
        <v>80</v>
      </c>
      <c r="D122" s="7">
        <v>52.5</v>
      </c>
      <c r="E122" s="8">
        <v>27.5</v>
      </c>
      <c r="F122" s="12">
        <v>1.966724537037037E-2</v>
      </c>
      <c r="G122" s="7">
        <v>32</v>
      </c>
    </row>
    <row r="123" spans="1:7" x14ac:dyDescent="0.2">
      <c r="A123" s="10" t="s">
        <v>80</v>
      </c>
      <c r="B123" s="11">
        <v>30.8</v>
      </c>
      <c r="C123" s="10">
        <v>81.25</v>
      </c>
      <c r="D123" s="10">
        <v>60.94</v>
      </c>
      <c r="E123" s="11">
        <v>20.309999999999999</v>
      </c>
      <c r="F123" s="13">
        <v>2.2477777777777777E-2</v>
      </c>
      <c r="G123" s="10">
        <v>31</v>
      </c>
    </row>
    <row r="124" spans="1:7" x14ac:dyDescent="0.2">
      <c r="A124" s="7" t="s">
        <v>29</v>
      </c>
      <c r="B124" s="8">
        <v>17.2</v>
      </c>
      <c r="C124" s="7">
        <v>80.56</v>
      </c>
      <c r="D124" s="7">
        <v>44.44</v>
      </c>
      <c r="E124" s="8">
        <v>36.11</v>
      </c>
      <c r="F124" s="12">
        <v>1.9933449074074076E-2</v>
      </c>
      <c r="G124" s="7">
        <v>26</v>
      </c>
    </row>
    <row r="125" spans="1:7" x14ac:dyDescent="0.2">
      <c r="A125" s="10" t="s">
        <v>25</v>
      </c>
      <c r="B125" s="11">
        <v>34.799999999999997</v>
      </c>
      <c r="C125" s="10">
        <v>86.44</v>
      </c>
      <c r="D125" s="10">
        <v>66.099999999999994</v>
      </c>
      <c r="E125" s="11">
        <v>20.34</v>
      </c>
      <c r="F125" s="13">
        <v>2.3311921296296296E-2</v>
      </c>
      <c r="G125" s="10">
        <v>19</v>
      </c>
    </row>
    <row r="126" spans="1:7" x14ac:dyDescent="0.2">
      <c r="A126" s="7" t="s">
        <v>106</v>
      </c>
      <c r="B126" s="8">
        <v>31.3</v>
      </c>
      <c r="C126" s="7">
        <v>82.61</v>
      </c>
      <c r="D126" s="7">
        <v>73.91</v>
      </c>
      <c r="E126" s="8">
        <v>8.6999999999999993</v>
      </c>
      <c r="F126" s="12">
        <v>1.7393865740740741E-2</v>
      </c>
      <c r="G126" s="7">
        <v>24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3"/>
  <dimension ref="A1:Q125"/>
  <sheetViews>
    <sheetView workbookViewId="0">
      <selection activeCell="Q26" sqref="I2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5.6640625" bestFit="1" customWidth="1"/>
    <col min="11" max="11" width="8.5" bestFit="1" customWidth="1"/>
    <col min="12" max="12" width="7.83203125" bestFit="1" customWidth="1"/>
    <col min="13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27.4</v>
      </c>
      <c r="C2" s="7">
        <v>75</v>
      </c>
      <c r="D2" s="7">
        <v>67.31</v>
      </c>
      <c r="E2" s="8">
        <v>7.69</v>
      </c>
      <c r="F2" s="12">
        <v>1.9575347222222223E-2</v>
      </c>
      <c r="G2" s="7">
        <v>29</v>
      </c>
      <c r="I2">
        <v>1</v>
      </c>
      <c r="J2" t="s">
        <v>11</v>
      </c>
      <c r="K2">
        <f>VLOOKUP($J2,Offense2012[],2)</f>
        <v>38.700000000000003</v>
      </c>
      <c r="L2">
        <f>VLOOKUP($J2,Offense2012[],3)</f>
        <v>90.32</v>
      </c>
      <c r="M2">
        <f>VLOOKUP($J2,Offense2012[],4)</f>
        <v>74.19</v>
      </c>
      <c r="N2">
        <f>VLOOKUP($J2,Offense2012[],5)</f>
        <v>16.13</v>
      </c>
      <c r="O2" s="1">
        <f>VLOOKUP($J2,Offense2012[],6)</f>
        <v>2.241238425925926E-2</v>
      </c>
      <c r="P2">
        <f>VLOOKUP($J2,Offense2012[],7)</f>
        <v>15</v>
      </c>
      <c r="Q2">
        <v>2012</v>
      </c>
    </row>
    <row r="3" spans="1:17" x14ac:dyDescent="0.2">
      <c r="A3" s="10" t="s">
        <v>103</v>
      </c>
      <c r="B3" s="11">
        <v>26.1</v>
      </c>
      <c r="C3" s="10">
        <v>81.400000000000006</v>
      </c>
      <c r="D3" s="10">
        <v>67.44</v>
      </c>
      <c r="E3" s="11">
        <v>13.95</v>
      </c>
      <c r="F3" s="13">
        <v>1.9373032407407408E-2</v>
      </c>
      <c r="G3" s="10">
        <v>27</v>
      </c>
      <c r="I3">
        <v>2</v>
      </c>
      <c r="J3" t="s">
        <v>18</v>
      </c>
      <c r="K3">
        <f>VLOOKUP($J3,Offense2012[],2)</f>
        <v>49.6</v>
      </c>
      <c r="L3">
        <f>VLOOKUP($J3,Offense2012[],3)</f>
        <v>90.41</v>
      </c>
      <c r="M3">
        <f>VLOOKUP($J3,Offense2012[],4)</f>
        <v>80.819999999999993</v>
      </c>
      <c r="N3">
        <f>VLOOKUP($J3,Offense2012[],5)</f>
        <v>9.59</v>
      </c>
      <c r="O3" s="1">
        <f>VLOOKUP($J3,Offense2012[],6)</f>
        <v>1.9498726851851854E-2</v>
      </c>
      <c r="P3">
        <f>VLOOKUP($J3,Offense2012[],7)</f>
        <v>19</v>
      </c>
      <c r="Q3">
        <v>2012</v>
      </c>
    </row>
    <row r="4" spans="1:17" x14ac:dyDescent="0.2">
      <c r="A4" s="7" t="s">
        <v>11</v>
      </c>
      <c r="B4" s="8">
        <v>38.700000000000003</v>
      </c>
      <c r="C4" s="7">
        <v>90.32</v>
      </c>
      <c r="D4" s="7">
        <v>74.19</v>
      </c>
      <c r="E4" s="8">
        <v>16.13</v>
      </c>
      <c r="F4" s="12">
        <v>2.241238425925926E-2</v>
      </c>
      <c r="G4" s="7">
        <v>15</v>
      </c>
      <c r="I4">
        <v>3</v>
      </c>
      <c r="J4" t="s">
        <v>4</v>
      </c>
      <c r="K4">
        <f>VLOOKUP($J4,Offense2012[],2)</f>
        <v>37.200000000000003</v>
      </c>
      <c r="L4">
        <f>VLOOKUP($J4,Offense2012[],3)</f>
        <v>86.54</v>
      </c>
      <c r="M4">
        <f>VLOOKUP($J4,Offense2012[],4)</f>
        <v>75</v>
      </c>
      <c r="N4">
        <f>VLOOKUP($J4,Offense2012[],5)</f>
        <v>11.54</v>
      </c>
      <c r="O4" s="1">
        <f>VLOOKUP($J4,Offense2012[],6)</f>
        <v>2.0918171296296296E-2</v>
      </c>
      <c r="P4">
        <f>VLOOKUP($J4,Offense2012[],7)</f>
        <v>18</v>
      </c>
      <c r="Q4">
        <v>2012</v>
      </c>
    </row>
    <row r="5" spans="1:17" x14ac:dyDescent="0.2">
      <c r="A5" s="10" t="s">
        <v>5</v>
      </c>
      <c r="B5" s="11">
        <v>38.200000000000003</v>
      </c>
      <c r="C5" s="10">
        <v>78.48</v>
      </c>
      <c r="D5" s="10">
        <v>63.29</v>
      </c>
      <c r="E5" s="11">
        <v>15.19</v>
      </c>
      <c r="F5" s="13">
        <v>1.867337962962963E-2</v>
      </c>
      <c r="G5" s="10">
        <v>28</v>
      </c>
      <c r="I5">
        <v>4</v>
      </c>
      <c r="J5" t="s">
        <v>23</v>
      </c>
      <c r="K5">
        <f>VLOOKUP($J5,Offense2012[],2)</f>
        <v>25.8</v>
      </c>
      <c r="L5">
        <f>VLOOKUP($J5,Offense2012[],3)</f>
        <v>80</v>
      </c>
      <c r="M5">
        <f>VLOOKUP($J5,Offense2012[],4)</f>
        <v>48.33</v>
      </c>
      <c r="N5">
        <f>VLOOKUP($J5,Offense2012[],5)</f>
        <v>31.67</v>
      </c>
      <c r="O5" s="1">
        <f>VLOOKUP($J5,Offense2012[],6)</f>
        <v>2.2039699074074076E-2</v>
      </c>
      <c r="P5">
        <f>VLOOKUP($J5,Offense2012[],7)</f>
        <v>15</v>
      </c>
      <c r="Q5">
        <v>2012</v>
      </c>
    </row>
    <row r="6" spans="1:17" x14ac:dyDescent="0.2">
      <c r="A6" s="7" t="s">
        <v>38</v>
      </c>
      <c r="B6" s="8">
        <v>38.4</v>
      </c>
      <c r="C6" s="7">
        <v>78.87</v>
      </c>
      <c r="D6" s="7">
        <v>61.97</v>
      </c>
      <c r="E6" s="8">
        <v>16.899999999999999</v>
      </c>
      <c r="F6" s="12">
        <v>2.0314236111111113E-2</v>
      </c>
      <c r="G6" s="7">
        <v>24</v>
      </c>
      <c r="I6">
        <v>5</v>
      </c>
      <c r="J6" t="s">
        <v>22</v>
      </c>
      <c r="K6">
        <f>VLOOKUP($J6,Offense2012[],2)</f>
        <v>37.799999999999997</v>
      </c>
      <c r="L6">
        <f>VLOOKUP($J6,Offense2012[],3)</f>
        <v>86</v>
      </c>
      <c r="M6">
        <f>VLOOKUP($J6,Offense2012[],4)</f>
        <v>76</v>
      </c>
      <c r="N6">
        <f>VLOOKUP($J6,Offense2012[],5)</f>
        <v>10</v>
      </c>
      <c r="O6" s="1">
        <f>VLOOKUP($J6,Offense2012[],6)</f>
        <v>1.9528819444444446E-2</v>
      </c>
      <c r="P6">
        <f>VLOOKUP($J6,Offense2012[],7)</f>
        <v>19</v>
      </c>
      <c r="Q6">
        <v>2012</v>
      </c>
    </row>
    <row r="7" spans="1:17" x14ac:dyDescent="0.2">
      <c r="A7" s="10" t="s">
        <v>63</v>
      </c>
      <c r="B7" s="11">
        <v>23.5</v>
      </c>
      <c r="C7" s="10">
        <v>71.430000000000007</v>
      </c>
      <c r="D7" s="10">
        <v>46.94</v>
      </c>
      <c r="E7" s="11">
        <v>24.49</v>
      </c>
      <c r="F7" s="13">
        <v>1.9142592592592593E-2</v>
      </c>
      <c r="G7" s="10">
        <v>31</v>
      </c>
      <c r="I7">
        <v>6</v>
      </c>
      <c r="J7" t="s">
        <v>43</v>
      </c>
      <c r="K7">
        <f>VLOOKUP($J7,Offense2012[],2)</f>
        <v>44.5</v>
      </c>
      <c r="L7">
        <f>VLOOKUP($J7,Offense2012[],3)</f>
        <v>86.76</v>
      </c>
      <c r="M7">
        <f>VLOOKUP($J7,Offense2012[],4)</f>
        <v>73.53</v>
      </c>
      <c r="N7">
        <f>VLOOKUP($J7,Offense2012[],5)</f>
        <v>13.24</v>
      </c>
      <c r="O7" s="1">
        <f>VLOOKUP($J7,Offense2012[],6)</f>
        <v>1.9543287037037036E-2</v>
      </c>
      <c r="P7">
        <f>VLOOKUP($J7,Offense2012[],7)</f>
        <v>21</v>
      </c>
      <c r="Q7">
        <v>2012</v>
      </c>
    </row>
    <row r="8" spans="1:17" x14ac:dyDescent="0.2">
      <c r="A8" s="7" t="s">
        <v>8</v>
      </c>
      <c r="B8" s="8">
        <v>34.9</v>
      </c>
      <c r="C8" s="7">
        <v>87.1</v>
      </c>
      <c r="D8" s="7">
        <v>66.13</v>
      </c>
      <c r="E8" s="8">
        <v>20.97</v>
      </c>
      <c r="F8" s="12">
        <v>2.0165625E-2</v>
      </c>
      <c r="G8" s="7">
        <v>14</v>
      </c>
      <c r="I8">
        <v>7</v>
      </c>
      <c r="J8" t="s">
        <v>37</v>
      </c>
      <c r="K8">
        <f>VLOOKUP($J8,Offense2012[],2)</f>
        <v>27.9</v>
      </c>
      <c r="L8">
        <f>VLOOKUP($J8,Offense2012[],3)</f>
        <v>86.27</v>
      </c>
      <c r="M8">
        <f>VLOOKUP($J8,Offense2012[],4)</f>
        <v>60.78</v>
      </c>
      <c r="N8">
        <f>VLOOKUP($J8,Offense2012[],5)</f>
        <v>25.49</v>
      </c>
      <c r="O8" s="1">
        <f>VLOOKUP($J8,Offense2012[],6)</f>
        <v>2.2020486111111112E-2</v>
      </c>
      <c r="P8">
        <f>VLOOKUP($J8,Offense2012[],7)</f>
        <v>18</v>
      </c>
      <c r="Q8">
        <v>2012</v>
      </c>
    </row>
    <row r="9" spans="1:17" x14ac:dyDescent="0.2">
      <c r="A9" s="10" t="s">
        <v>42</v>
      </c>
      <c r="B9" s="11">
        <v>24.3</v>
      </c>
      <c r="C9" s="10">
        <v>71.430000000000007</v>
      </c>
      <c r="D9" s="10">
        <v>53.06</v>
      </c>
      <c r="E9" s="11">
        <v>18.37</v>
      </c>
      <c r="F9" s="13">
        <v>2.2181712962962962E-2</v>
      </c>
      <c r="G9" s="10">
        <v>22</v>
      </c>
      <c r="I9">
        <v>8</v>
      </c>
      <c r="J9" t="s">
        <v>98</v>
      </c>
      <c r="K9">
        <f>VLOOKUP($J9,Offense2012[],2)</f>
        <v>31.5</v>
      </c>
      <c r="L9">
        <f>VLOOKUP($J9,Offense2012[],3)</f>
        <v>81.25</v>
      </c>
      <c r="M9">
        <f>VLOOKUP($J9,Offense2012[],4)</f>
        <v>64.58</v>
      </c>
      <c r="N9">
        <f>VLOOKUP($J9,Offense2012[],5)</f>
        <v>16.670000000000002</v>
      </c>
      <c r="O9" s="1">
        <f>VLOOKUP($J9,Offense2012[],6)</f>
        <v>2.0673032407407407E-2</v>
      </c>
      <c r="P9">
        <f>VLOOKUP($J9,Offense2012[],7)</f>
        <v>20</v>
      </c>
      <c r="Q9">
        <v>2012</v>
      </c>
    </row>
    <row r="10" spans="1:17" x14ac:dyDescent="0.2">
      <c r="A10" s="7" t="s">
        <v>19</v>
      </c>
      <c r="B10" s="8">
        <v>18.7</v>
      </c>
      <c r="C10" s="7">
        <v>82.14</v>
      </c>
      <c r="D10" s="7">
        <v>50</v>
      </c>
      <c r="E10" s="8">
        <v>32.14</v>
      </c>
      <c r="F10" s="12">
        <v>2.0563310185185184E-2</v>
      </c>
      <c r="G10" s="7">
        <v>25</v>
      </c>
      <c r="I10">
        <v>9</v>
      </c>
      <c r="J10" t="s">
        <v>108</v>
      </c>
      <c r="K10">
        <f>VLOOKUP($J10,Offense2012[],2)</f>
        <v>26.5</v>
      </c>
      <c r="L10">
        <f>VLOOKUP($J10,Offense2012[],3)</f>
        <v>82.61</v>
      </c>
      <c r="M10">
        <f>VLOOKUP($J10,Offense2012[],4)</f>
        <v>52.17</v>
      </c>
      <c r="N10">
        <f>VLOOKUP($J10,Offense2012[],5)</f>
        <v>30.43</v>
      </c>
      <c r="O10" s="1">
        <f>VLOOKUP($J10,Offense2012[],6)</f>
        <v>2.2529398148148149E-2</v>
      </c>
      <c r="P10">
        <f>VLOOKUP($J10,Offense2012[],7)</f>
        <v>15</v>
      </c>
      <c r="Q10">
        <v>2012</v>
      </c>
    </row>
    <row r="11" spans="1:17" x14ac:dyDescent="0.2">
      <c r="A11" s="10" t="s">
        <v>120</v>
      </c>
      <c r="B11" s="11">
        <v>33.6</v>
      </c>
      <c r="C11" s="10">
        <v>84.06</v>
      </c>
      <c r="D11" s="10">
        <v>60.87</v>
      </c>
      <c r="E11" s="11">
        <v>23.19</v>
      </c>
      <c r="F11" s="13">
        <v>2.164976851851852E-2</v>
      </c>
      <c r="G11" s="10">
        <v>17</v>
      </c>
      <c r="I11">
        <v>10</v>
      </c>
      <c r="J11" t="s">
        <v>88</v>
      </c>
      <c r="K11">
        <f>VLOOKUP($J11,Offense2012[],2)</f>
        <v>39.299999999999997</v>
      </c>
      <c r="L11">
        <f>VLOOKUP($J11,Offense2012[],3)</f>
        <v>91.55</v>
      </c>
      <c r="M11">
        <f>VLOOKUP($J11,Offense2012[],4)</f>
        <v>70.42</v>
      </c>
      <c r="N11">
        <f>VLOOKUP($J11,Offense2012[],5)</f>
        <v>21.13</v>
      </c>
      <c r="O11" s="1">
        <f>VLOOKUP($J11,Offense2012[],6)</f>
        <v>2.0873842592592593E-2</v>
      </c>
      <c r="P11">
        <f>VLOOKUP($J11,Offense2012[],7)</f>
        <v>27</v>
      </c>
      <c r="Q11">
        <v>2012</v>
      </c>
    </row>
    <row r="12" spans="1:17" x14ac:dyDescent="0.2">
      <c r="A12" s="7" t="s">
        <v>94</v>
      </c>
      <c r="B12" s="8">
        <v>44.5</v>
      </c>
      <c r="C12" s="7">
        <v>82.61</v>
      </c>
      <c r="D12" s="7">
        <v>65.22</v>
      </c>
      <c r="E12" s="8">
        <v>17.39</v>
      </c>
      <c r="F12" s="12">
        <v>1.8999305555555557E-2</v>
      </c>
      <c r="G12" s="7">
        <v>23</v>
      </c>
      <c r="I12">
        <v>11</v>
      </c>
      <c r="J12" t="s">
        <v>24</v>
      </c>
      <c r="K12">
        <f>VLOOKUP($J12,Offense2012[],2)</f>
        <v>41</v>
      </c>
      <c r="L12">
        <f>VLOOKUP($J12,Offense2012[],3)</f>
        <v>94.92</v>
      </c>
      <c r="M12">
        <f>VLOOKUP($J12,Offense2012[],4)</f>
        <v>72.88</v>
      </c>
      <c r="N12">
        <f>VLOOKUP($J12,Offense2012[],5)</f>
        <v>22.03</v>
      </c>
      <c r="O12" s="1">
        <f>VLOOKUP($J12,Offense2012[],6)</f>
        <v>1.9996412037037035E-2</v>
      </c>
      <c r="P12">
        <f>VLOOKUP($J12,Offense2012[],7)</f>
        <v>21</v>
      </c>
      <c r="Q12">
        <v>2012</v>
      </c>
    </row>
    <row r="13" spans="1:17" x14ac:dyDescent="0.2">
      <c r="A13" s="10" t="s">
        <v>33</v>
      </c>
      <c r="B13" s="11">
        <v>30.2</v>
      </c>
      <c r="C13" s="10">
        <v>81.97</v>
      </c>
      <c r="D13" s="10">
        <v>57.38</v>
      </c>
      <c r="E13" s="11">
        <v>24.59</v>
      </c>
      <c r="F13" s="13">
        <v>2.0585879629629631E-2</v>
      </c>
      <c r="G13" s="10">
        <v>16</v>
      </c>
      <c r="I13">
        <v>12</v>
      </c>
      <c r="J13" t="s">
        <v>36</v>
      </c>
      <c r="K13">
        <f>VLOOKUP($J13,Offense2012[],2)</f>
        <v>38.799999999999997</v>
      </c>
      <c r="L13">
        <f>VLOOKUP($J13,Offense2012[],3)</f>
        <v>87.32</v>
      </c>
      <c r="M13">
        <f>VLOOKUP($J13,Offense2012[],4)</f>
        <v>63.38</v>
      </c>
      <c r="N13">
        <f>VLOOKUP($J13,Offense2012[],5)</f>
        <v>23.94</v>
      </c>
      <c r="O13" s="1">
        <f>VLOOKUP($J13,Offense2012[],6)</f>
        <v>2.2252546296296295E-2</v>
      </c>
      <c r="P13">
        <f>VLOOKUP($J13,Offense2012[],7)</f>
        <v>12</v>
      </c>
      <c r="Q13">
        <v>2012</v>
      </c>
    </row>
    <row r="14" spans="1:17" x14ac:dyDescent="0.2">
      <c r="A14" s="7" t="s">
        <v>79</v>
      </c>
      <c r="B14" s="8">
        <v>19.8</v>
      </c>
      <c r="C14" s="7">
        <v>75.61</v>
      </c>
      <c r="D14" s="7">
        <v>41.46</v>
      </c>
      <c r="E14" s="8">
        <v>34.15</v>
      </c>
      <c r="F14" s="12">
        <v>1.8746180555555554E-2</v>
      </c>
      <c r="G14" s="7">
        <v>24</v>
      </c>
      <c r="I14">
        <v>13</v>
      </c>
      <c r="J14" t="s">
        <v>12</v>
      </c>
      <c r="K14">
        <f>VLOOKUP($J14,Offense2012[],2)</f>
        <v>31.2</v>
      </c>
      <c r="L14">
        <f>VLOOKUP($J14,Offense2012[],3)</f>
        <v>92.98</v>
      </c>
      <c r="M14">
        <f>VLOOKUP($J14,Offense2012[],4)</f>
        <v>64.91</v>
      </c>
      <c r="N14">
        <f>VLOOKUP($J14,Offense2012[],5)</f>
        <v>28.07</v>
      </c>
      <c r="O14" s="1">
        <f>VLOOKUP($J14,Offense2012[],6)</f>
        <v>2.289444444444445E-2</v>
      </c>
      <c r="P14">
        <f>VLOOKUP($J14,Offense2012[],7)</f>
        <v>13</v>
      </c>
      <c r="Q14">
        <v>2012</v>
      </c>
    </row>
    <row r="15" spans="1:17" x14ac:dyDescent="0.2">
      <c r="A15" s="10" t="s">
        <v>87</v>
      </c>
      <c r="B15" s="11">
        <v>22.9</v>
      </c>
      <c r="C15" s="10">
        <v>65.959999999999994</v>
      </c>
      <c r="D15" s="10">
        <v>48.94</v>
      </c>
      <c r="E15" s="11">
        <v>17.02</v>
      </c>
      <c r="F15" s="13">
        <v>2.1685416666666665E-2</v>
      </c>
      <c r="G15" s="10">
        <v>18</v>
      </c>
      <c r="I15">
        <v>14</v>
      </c>
      <c r="J15" t="s">
        <v>70</v>
      </c>
      <c r="K15">
        <f>VLOOKUP($J15,Offense2012[],2)</f>
        <v>29.8</v>
      </c>
      <c r="L15">
        <f>VLOOKUP($J15,Offense2012[],3)</f>
        <v>84.91</v>
      </c>
      <c r="M15">
        <f>VLOOKUP($J15,Offense2012[],4)</f>
        <v>50.94</v>
      </c>
      <c r="N15">
        <f>VLOOKUP($J15,Offense2012[],5)</f>
        <v>33.96</v>
      </c>
      <c r="O15" s="1">
        <f>VLOOKUP($J15,Offense2012[],6)</f>
        <v>2.1230439814814817E-2</v>
      </c>
      <c r="P15">
        <f>VLOOKUP($J15,Offense2012[],7)</f>
        <v>17</v>
      </c>
      <c r="Q15">
        <v>2012</v>
      </c>
    </row>
    <row r="16" spans="1:17" x14ac:dyDescent="0.2">
      <c r="A16" s="7" t="s">
        <v>66</v>
      </c>
      <c r="B16" s="8">
        <v>21.3</v>
      </c>
      <c r="C16" s="7">
        <v>69.44</v>
      </c>
      <c r="D16" s="7">
        <v>52.78</v>
      </c>
      <c r="E16" s="8">
        <v>16.670000000000002</v>
      </c>
      <c r="F16" s="12">
        <v>1.9809027777777776E-2</v>
      </c>
      <c r="G16" s="7">
        <v>22</v>
      </c>
      <c r="I16">
        <v>15</v>
      </c>
      <c r="J16" t="s">
        <v>3</v>
      </c>
      <c r="K16">
        <f>VLOOKUP($J16,Offense2012[],2)</f>
        <v>38.200000000000003</v>
      </c>
      <c r="L16">
        <f>VLOOKUP($J16,Offense2012[],3)</f>
        <v>91.04</v>
      </c>
      <c r="M16">
        <f>VLOOKUP($J16,Offense2012[],4)</f>
        <v>68.66</v>
      </c>
      <c r="N16">
        <f>VLOOKUP($J16,Offense2012[],5)</f>
        <v>22.39</v>
      </c>
      <c r="O16" s="1">
        <f>VLOOKUP($J16,Offense2012[],6)</f>
        <v>2.157048611111111E-2</v>
      </c>
      <c r="P16">
        <f>VLOOKUP($J16,Offense2012[],7)</f>
        <v>20</v>
      </c>
      <c r="Q16">
        <v>2012</v>
      </c>
    </row>
    <row r="17" spans="1:17" x14ac:dyDescent="0.2">
      <c r="A17" s="10" t="s">
        <v>122</v>
      </c>
      <c r="B17" s="11">
        <v>28.7</v>
      </c>
      <c r="C17" s="10">
        <v>78.13</v>
      </c>
      <c r="D17" s="10">
        <v>62.5</v>
      </c>
      <c r="E17" s="11">
        <v>15.63</v>
      </c>
      <c r="F17" s="13">
        <v>2.2261342592592593E-2</v>
      </c>
      <c r="G17" s="10">
        <v>25</v>
      </c>
      <c r="I17">
        <v>16</v>
      </c>
      <c r="J17" t="s">
        <v>44</v>
      </c>
      <c r="K17">
        <f>VLOOKUP($J17,Offense2012[],2)</f>
        <v>34.9</v>
      </c>
      <c r="L17">
        <f>VLOOKUP($J17,Offense2012[],3)</f>
        <v>82.35</v>
      </c>
      <c r="M17">
        <f>VLOOKUP($J17,Offense2012[],4)</f>
        <v>64.709999999999994</v>
      </c>
      <c r="N17">
        <f>VLOOKUP($J17,Offense2012[],5)</f>
        <v>17.649999999999999</v>
      </c>
      <c r="O17" s="1">
        <f>VLOOKUP($J17,Offense2012[],6)</f>
        <v>1.943460648148148E-2</v>
      </c>
      <c r="P17">
        <f>VLOOKUP($J17,Offense2012[],7)</f>
        <v>21</v>
      </c>
      <c r="Q17">
        <v>2012</v>
      </c>
    </row>
    <row r="18" spans="1:17" x14ac:dyDescent="0.2">
      <c r="A18" s="7" t="s">
        <v>72</v>
      </c>
      <c r="B18" s="8">
        <v>23</v>
      </c>
      <c r="C18" s="7">
        <v>78.95</v>
      </c>
      <c r="D18" s="7">
        <v>47.37</v>
      </c>
      <c r="E18" s="8">
        <v>31.58</v>
      </c>
      <c r="F18" s="12">
        <v>1.9316203703703707E-2</v>
      </c>
      <c r="G18" s="7">
        <v>30</v>
      </c>
      <c r="I18">
        <v>17</v>
      </c>
      <c r="J18" t="s">
        <v>55</v>
      </c>
      <c r="K18">
        <f>VLOOKUP($J18,Offense2012[],2)</f>
        <v>31.7</v>
      </c>
      <c r="L18">
        <f>VLOOKUP($J18,Offense2012[],3)</f>
        <v>87.72</v>
      </c>
      <c r="M18">
        <f>VLOOKUP($J18,Offense2012[],4)</f>
        <v>59.65</v>
      </c>
      <c r="N18">
        <f>VLOOKUP($J18,Offense2012[],5)</f>
        <v>28.07</v>
      </c>
      <c r="O18" s="1">
        <f>VLOOKUP($J18,Offense2012[],6)</f>
        <v>2.1004282407407409E-2</v>
      </c>
      <c r="P18">
        <f>VLOOKUP($J18,Offense2012[],7)</f>
        <v>15</v>
      </c>
      <c r="Q18">
        <v>2012</v>
      </c>
    </row>
    <row r="19" spans="1:17" x14ac:dyDescent="0.2">
      <c r="A19" s="10" t="s">
        <v>54</v>
      </c>
      <c r="B19" s="11">
        <v>28.8</v>
      </c>
      <c r="C19" s="10">
        <v>87.5</v>
      </c>
      <c r="D19" s="10">
        <v>62.5</v>
      </c>
      <c r="E19" s="11">
        <v>25</v>
      </c>
      <c r="F19" s="13">
        <v>2.0427314814814815E-2</v>
      </c>
      <c r="G19" s="10">
        <v>16</v>
      </c>
      <c r="I19">
        <v>18</v>
      </c>
      <c r="J19" t="s">
        <v>33</v>
      </c>
      <c r="K19">
        <f>VLOOKUP($J19,Offense2012[],2)</f>
        <v>30.2</v>
      </c>
      <c r="L19">
        <f>VLOOKUP($J19,Offense2012[],3)</f>
        <v>81.97</v>
      </c>
      <c r="M19">
        <f>VLOOKUP($J19,Offense2012[],4)</f>
        <v>57.38</v>
      </c>
      <c r="N19">
        <f>VLOOKUP($J19,Offense2012[],5)</f>
        <v>24.59</v>
      </c>
      <c r="O19" s="1">
        <f>VLOOKUP($J19,Offense2012[],6)</f>
        <v>2.0585879629629631E-2</v>
      </c>
      <c r="P19">
        <f>VLOOKUP($J19,Offense2012[],7)</f>
        <v>16</v>
      </c>
      <c r="Q19">
        <v>2012</v>
      </c>
    </row>
    <row r="20" spans="1:17" x14ac:dyDescent="0.2">
      <c r="A20" s="7" t="s">
        <v>110</v>
      </c>
      <c r="B20" s="8">
        <v>32.299999999999997</v>
      </c>
      <c r="C20" s="7">
        <v>83.67</v>
      </c>
      <c r="D20" s="7">
        <v>61.22</v>
      </c>
      <c r="E20" s="8">
        <v>22.45</v>
      </c>
      <c r="F20" s="12">
        <v>1.9942129629629629E-2</v>
      </c>
      <c r="G20" s="7">
        <v>19</v>
      </c>
      <c r="I20">
        <v>19</v>
      </c>
      <c r="J20" t="s">
        <v>61</v>
      </c>
      <c r="K20">
        <f>VLOOKUP($J20,Offense2012[],2)</f>
        <v>35.700000000000003</v>
      </c>
      <c r="L20">
        <f>VLOOKUP($J20,Offense2012[],3)</f>
        <v>84.13</v>
      </c>
      <c r="M20">
        <f>VLOOKUP($J20,Offense2012[],4)</f>
        <v>69.84</v>
      </c>
      <c r="N20">
        <f>VLOOKUP($J20,Offense2012[],5)</f>
        <v>14.29</v>
      </c>
      <c r="O20" s="1">
        <f>VLOOKUP($J20,Offense2012[],6)</f>
        <v>2.1409374999999998E-2</v>
      </c>
      <c r="P20">
        <f>VLOOKUP($J20,Offense2012[],7)</f>
        <v>16</v>
      </c>
      <c r="Q20">
        <v>2012</v>
      </c>
    </row>
    <row r="21" spans="1:17" x14ac:dyDescent="0.2">
      <c r="A21" s="10" t="s">
        <v>24</v>
      </c>
      <c r="B21" s="11">
        <v>41</v>
      </c>
      <c r="C21" s="10">
        <v>94.92</v>
      </c>
      <c r="D21" s="10">
        <v>72.88</v>
      </c>
      <c r="E21" s="11">
        <v>22.03</v>
      </c>
      <c r="F21" s="13">
        <v>1.9996412037037035E-2</v>
      </c>
      <c r="G21" s="10">
        <v>21</v>
      </c>
      <c r="I21">
        <v>20</v>
      </c>
      <c r="J21" t="s">
        <v>112</v>
      </c>
      <c r="K21">
        <f>VLOOKUP($J21,Offense2012[],2)</f>
        <v>32.5</v>
      </c>
      <c r="L21">
        <f>VLOOKUP($J21,Offense2012[],3)</f>
        <v>91.38</v>
      </c>
      <c r="M21">
        <f>VLOOKUP($J21,Offense2012[],4)</f>
        <v>70.69</v>
      </c>
      <c r="N21">
        <f>VLOOKUP($J21,Offense2012[],5)</f>
        <v>20.69</v>
      </c>
      <c r="O21" s="1">
        <f>VLOOKUP($J21,Offense2012[],6)</f>
        <v>2.2255208333333332E-2</v>
      </c>
      <c r="P21">
        <f>VLOOKUP($J21,Offense2012[],7)</f>
        <v>23</v>
      </c>
      <c r="Q21">
        <v>2012</v>
      </c>
    </row>
    <row r="22" spans="1:17" x14ac:dyDescent="0.2">
      <c r="A22" s="7" t="s">
        <v>77</v>
      </c>
      <c r="B22" s="8">
        <v>17.8</v>
      </c>
      <c r="C22" s="7">
        <v>80</v>
      </c>
      <c r="D22" s="7">
        <v>62.86</v>
      </c>
      <c r="E22" s="8">
        <v>17.14</v>
      </c>
      <c r="F22" s="12">
        <v>2.1898148148148149E-2</v>
      </c>
      <c r="G22" s="7">
        <v>34</v>
      </c>
      <c r="I22">
        <v>21</v>
      </c>
      <c r="J22" t="s">
        <v>124</v>
      </c>
      <c r="K22">
        <f>VLOOKUP($J22,Offense2012[],2)</f>
        <v>34.799999999999997</v>
      </c>
      <c r="L22">
        <f>VLOOKUP($J22,Offense2012[],3)</f>
        <v>82.14</v>
      </c>
      <c r="M22">
        <f>VLOOKUP($J22,Offense2012[],4)</f>
        <v>57.14</v>
      </c>
      <c r="N22">
        <f>VLOOKUP($J22,Offense2012[],5)</f>
        <v>25</v>
      </c>
      <c r="O22" s="1">
        <f>VLOOKUP($J22,Offense2012[],6)</f>
        <v>2.2399421296296296E-2</v>
      </c>
      <c r="P22">
        <f>VLOOKUP($J22,Offense2012[],7)</f>
        <v>24</v>
      </c>
      <c r="Q22">
        <v>2012</v>
      </c>
    </row>
    <row r="23" spans="1:17" x14ac:dyDescent="0.2">
      <c r="A23" s="10" t="s">
        <v>30</v>
      </c>
      <c r="B23" s="11">
        <v>21.2</v>
      </c>
      <c r="C23" s="10">
        <v>87.5</v>
      </c>
      <c r="D23" s="10">
        <v>66.67</v>
      </c>
      <c r="E23" s="11">
        <v>20.83</v>
      </c>
      <c r="F23" s="13">
        <v>1.9412615740740741E-2</v>
      </c>
      <c r="G23" s="10">
        <v>26</v>
      </c>
      <c r="I23">
        <v>22</v>
      </c>
      <c r="J23" t="s">
        <v>51</v>
      </c>
      <c r="K23">
        <f>VLOOKUP($J23,Offense2012[],2)</f>
        <v>38.6</v>
      </c>
      <c r="L23">
        <f>VLOOKUP($J23,Offense2012[],3)</f>
        <v>80.28</v>
      </c>
      <c r="M23">
        <f>VLOOKUP($J23,Offense2012[],4)</f>
        <v>70.42</v>
      </c>
      <c r="N23">
        <f>VLOOKUP($J23,Offense2012[],5)</f>
        <v>9.86</v>
      </c>
      <c r="O23" s="1">
        <f>VLOOKUP($J23,Offense2012[],6)</f>
        <v>1.8892245370370372E-2</v>
      </c>
      <c r="P23">
        <f>VLOOKUP($J23,Offense2012[],7)</f>
        <v>20</v>
      </c>
      <c r="Q23">
        <v>2012</v>
      </c>
    </row>
    <row r="24" spans="1:17" x14ac:dyDescent="0.2">
      <c r="A24" s="7" t="s">
        <v>101</v>
      </c>
      <c r="B24" s="8">
        <v>17.8</v>
      </c>
      <c r="C24" s="7">
        <v>84.38</v>
      </c>
      <c r="D24" s="7">
        <v>46.88</v>
      </c>
      <c r="E24" s="8">
        <v>37.5</v>
      </c>
      <c r="F24" s="12">
        <v>2.142847222222222E-2</v>
      </c>
      <c r="G24" s="7">
        <v>26</v>
      </c>
      <c r="I24">
        <v>23</v>
      </c>
      <c r="J24" t="s">
        <v>92</v>
      </c>
      <c r="K24">
        <f>VLOOKUP($J24,Offense2012[],2)</f>
        <v>30</v>
      </c>
      <c r="L24">
        <f>VLOOKUP($J24,Offense2012[],3)</f>
        <v>76</v>
      </c>
      <c r="M24">
        <f>VLOOKUP($J24,Offense2012[],4)</f>
        <v>50</v>
      </c>
      <c r="N24">
        <f>VLOOKUP($J24,Offense2012[],5)</f>
        <v>26</v>
      </c>
      <c r="O24" s="1">
        <f>VLOOKUP($J24,Offense2012[],6)</f>
        <v>2.0961574074074073E-2</v>
      </c>
      <c r="P24">
        <f>VLOOKUP($J24,Offense2012[],7)</f>
        <v>18</v>
      </c>
      <c r="Q24">
        <v>2012</v>
      </c>
    </row>
    <row r="25" spans="1:17" x14ac:dyDescent="0.2">
      <c r="A25" s="10" t="s">
        <v>85</v>
      </c>
      <c r="B25" s="11">
        <v>31.5</v>
      </c>
      <c r="C25" s="10">
        <v>83.33</v>
      </c>
      <c r="D25" s="10">
        <v>57.41</v>
      </c>
      <c r="E25" s="11">
        <v>25.93</v>
      </c>
      <c r="F25" s="13">
        <v>2.1618634259259261E-2</v>
      </c>
      <c r="G25" s="10">
        <v>21</v>
      </c>
      <c r="I25">
        <v>24</v>
      </c>
      <c r="J25" t="s">
        <v>84</v>
      </c>
      <c r="K25">
        <f>VLOOKUP($J25,Offense2012[],2)</f>
        <v>29.8</v>
      </c>
      <c r="L25">
        <f>VLOOKUP($J25,Offense2012[],3)</f>
        <v>93.48</v>
      </c>
      <c r="M25">
        <f>VLOOKUP($J25,Offense2012[],4)</f>
        <v>63.04</v>
      </c>
      <c r="N25">
        <f>VLOOKUP($J25,Offense2012[],5)</f>
        <v>30.43</v>
      </c>
      <c r="O25" s="1">
        <f>VLOOKUP($J25,Offense2012[],6)</f>
        <v>2.0953472222222224E-2</v>
      </c>
      <c r="P25">
        <f>VLOOKUP($J25,Offense2012[],7)</f>
        <v>27</v>
      </c>
      <c r="Q25">
        <v>2012</v>
      </c>
    </row>
    <row r="26" spans="1:17" x14ac:dyDescent="0.2">
      <c r="A26" s="7" t="s">
        <v>89</v>
      </c>
      <c r="B26" s="8">
        <v>31.5</v>
      </c>
      <c r="C26" s="7">
        <v>92.59</v>
      </c>
      <c r="D26" s="7">
        <v>72.22</v>
      </c>
      <c r="E26" s="8">
        <v>20.37</v>
      </c>
      <c r="F26" s="12">
        <v>2.166134259259259E-2</v>
      </c>
      <c r="G26" s="7">
        <v>22</v>
      </c>
      <c r="I26">
        <v>25</v>
      </c>
      <c r="J26" t="s">
        <v>83</v>
      </c>
      <c r="K26">
        <f>VLOOKUP($J26,Offense2012[],2)</f>
        <v>34.799999999999997</v>
      </c>
      <c r="L26">
        <f>VLOOKUP($J26,Offense2012[],3)</f>
        <v>85.48</v>
      </c>
      <c r="M26">
        <f>VLOOKUP($J26,Offense2012[],4)</f>
        <v>62.9</v>
      </c>
      <c r="N26">
        <f>VLOOKUP($J26,Offense2012[],5)</f>
        <v>22.58</v>
      </c>
      <c r="O26" s="1">
        <f>VLOOKUP($J26,Offense2012[],6)</f>
        <v>2.1499652777777777E-2</v>
      </c>
      <c r="P26">
        <f>VLOOKUP($J26,Offense2012[],7)</f>
        <v>35</v>
      </c>
      <c r="Q26">
        <v>2012</v>
      </c>
    </row>
    <row r="27" spans="1:17" x14ac:dyDescent="0.2">
      <c r="A27" s="10" t="s">
        <v>81</v>
      </c>
      <c r="B27" s="11">
        <v>21.3</v>
      </c>
      <c r="C27" s="10">
        <v>86.21</v>
      </c>
      <c r="D27" s="10">
        <v>62.07</v>
      </c>
      <c r="E27" s="11">
        <v>24.14</v>
      </c>
      <c r="F27" s="13">
        <v>2.0046296296296295E-2</v>
      </c>
      <c r="G27" s="10">
        <v>21</v>
      </c>
    </row>
    <row r="28" spans="1:17" x14ac:dyDescent="0.2">
      <c r="A28" s="7" t="s">
        <v>108</v>
      </c>
      <c r="B28" s="8">
        <v>26.5</v>
      </c>
      <c r="C28" s="7">
        <v>82.61</v>
      </c>
      <c r="D28" s="7">
        <v>52.17</v>
      </c>
      <c r="E28" s="8">
        <v>30.43</v>
      </c>
      <c r="F28" s="12">
        <v>2.2529398148148149E-2</v>
      </c>
      <c r="G28" s="7">
        <v>15</v>
      </c>
    </row>
    <row r="29" spans="1:17" x14ac:dyDescent="0.2">
      <c r="A29" s="10" t="s">
        <v>9</v>
      </c>
      <c r="B29" s="11">
        <v>20.5</v>
      </c>
      <c r="C29" s="10">
        <v>71.790000000000006</v>
      </c>
      <c r="D29" s="10">
        <v>58.97</v>
      </c>
      <c r="E29" s="11">
        <v>12.82</v>
      </c>
      <c r="F29" s="13">
        <v>2.124039351851852E-2</v>
      </c>
      <c r="G29" s="10">
        <v>19</v>
      </c>
    </row>
    <row r="30" spans="1:17" x14ac:dyDescent="0.2">
      <c r="A30" s="7" t="s">
        <v>95</v>
      </c>
      <c r="B30" s="8">
        <v>25</v>
      </c>
      <c r="C30" s="7">
        <v>75</v>
      </c>
      <c r="D30" s="7">
        <v>57.5</v>
      </c>
      <c r="E30" s="8">
        <v>17.5</v>
      </c>
      <c r="F30" s="12">
        <v>2.0676157407407407E-2</v>
      </c>
      <c r="G30" s="7">
        <v>22</v>
      </c>
    </row>
    <row r="31" spans="1:17" x14ac:dyDescent="0.2">
      <c r="A31" s="10" t="s">
        <v>88</v>
      </c>
      <c r="B31" s="11">
        <v>39.299999999999997</v>
      </c>
      <c r="C31" s="10">
        <v>91.55</v>
      </c>
      <c r="D31" s="10">
        <v>70.42</v>
      </c>
      <c r="E31" s="11">
        <v>21.13</v>
      </c>
      <c r="F31" s="13">
        <v>2.0873842592592593E-2</v>
      </c>
      <c r="G31" s="10">
        <v>27</v>
      </c>
    </row>
    <row r="32" spans="1:17" x14ac:dyDescent="0.2">
      <c r="A32" s="7" t="s">
        <v>73</v>
      </c>
      <c r="B32" s="8">
        <v>37.9</v>
      </c>
      <c r="C32" s="7">
        <v>82.46</v>
      </c>
      <c r="D32" s="7">
        <v>63.16</v>
      </c>
      <c r="E32" s="8">
        <v>19.3</v>
      </c>
      <c r="F32" s="12">
        <v>2.0865393518518519E-2</v>
      </c>
      <c r="G32" s="7">
        <v>20</v>
      </c>
    </row>
    <row r="33" spans="1:7" x14ac:dyDescent="0.2">
      <c r="A33" s="10" t="s">
        <v>22</v>
      </c>
      <c r="B33" s="11">
        <v>37.799999999999997</v>
      </c>
      <c r="C33" s="10">
        <v>86</v>
      </c>
      <c r="D33" s="10">
        <v>76</v>
      </c>
      <c r="E33" s="11">
        <v>10</v>
      </c>
      <c r="F33" s="13">
        <v>1.9528819444444446E-2</v>
      </c>
      <c r="G33" s="10">
        <v>19</v>
      </c>
    </row>
    <row r="34" spans="1:7" x14ac:dyDescent="0.2">
      <c r="A34" s="7" t="s">
        <v>71</v>
      </c>
      <c r="B34" s="8">
        <v>33.6</v>
      </c>
      <c r="C34" s="7">
        <v>80</v>
      </c>
      <c r="D34" s="7">
        <v>66.150000000000006</v>
      </c>
      <c r="E34" s="8">
        <v>13.85</v>
      </c>
      <c r="F34" s="12">
        <v>2.2898495370370368E-2</v>
      </c>
      <c r="G34" s="7">
        <v>21</v>
      </c>
    </row>
    <row r="35" spans="1:7" x14ac:dyDescent="0.2">
      <c r="A35" s="10" t="s">
        <v>105</v>
      </c>
      <c r="B35" s="11">
        <v>21.2</v>
      </c>
      <c r="C35" s="10">
        <v>71.05</v>
      </c>
      <c r="D35" s="10">
        <v>50</v>
      </c>
      <c r="E35" s="11">
        <v>21.05</v>
      </c>
      <c r="F35" s="13">
        <v>2.0571990740740741E-2</v>
      </c>
      <c r="G35" s="10">
        <v>33</v>
      </c>
    </row>
    <row r="36" spans="1:7" x14ac:dyDescent="0.2">
      <c r="A36" s="7" t="s">
        <v>67</v>
      </c>
      <c r="B36" s="8">
        <v>32.4</v>
      </c>
      <c r="C36" s="7">
        <v>83.02</v>
      </c>
      <c r="D36" s="7">
        <v>52.83</v>
      </c>
      <c r="E36" s="8">
        <v>30.19</v>
      </c>
      <c r="F36" s="12">
        <v>1.7225115740740742E-2</v>
      </c>
      <c r="G36" s="7">
        <v>35</v>
      </c>
    </row>
    <row r="37" spans="1:7" x14ac:dyDescent="0.2">
      <c r="A37" s="10" t="s">
        <v>115</v>
      </c>
      <c r="B37" s="11">
        <v>15.8</v>
      </c>
      <c r="C37" s="10">
        <v>81.48</v>
      </c>
      <c r="D37" s="10">
        <v>48.15</v>
      </c>
      <c r="E37" s="11">
        <v>33.33</v>
      </c>
      <c r="F37" s="13">
        <v>2.0251736111111113E-2</v>
      </c>
      <c r="G37" s="10">
        <v>39</v>
      </c>
    </row>
    <row r="38" spans="1:7" x14ac:dyDescent="0.2">
      <c r="A38" s="7" t="s">
        <v>125</v>
      </c>
      <c r="B38" s="8">
        <v>16.7</v>
      </c>
      <c r="C38" s="7">
        <v>74.19</v>
      </c>
      <c r="D38" s="7">
        <v>61.29</v>
      </c>
      <c r="E38" s="8">
        <v>12.9</v>
      </c>
      <c r="F38" s="12">
        <v>2.1002083333333334E-2</v>
      </c>
      <c r="G38" s="7">
        <v>30</v>
      </c>
    </row>
    <row r="39" spans="1:7" x14ac:dyDescent="0.2">
      <c r="A39" s="10" t="s">
        <v>76</v>
      </c>
      <c r="B39" s="11">
        <v>30.8</v>
      </c>
      <c r="C39" s="10">
        <v>86.27</v>
      </c>
      <c r="D39" s="10">
        <v>66.67</v>
      </c>
      <c r="E39" s="11">
        <v>19.61</v>
      </c>
      <c r="F39" s="13">
        <v>1.8413425925925927E-2</v>
      </c>
      <c r="G39" s="10">
        <v>16</v>
      </c>
    </row>
    <row r="40" spans="1:7" x14ac:dyDescent="0.2">
      <c r="A40" s="7" t="s">
        <v>68</v>
      </c>
      <c r="B40" s="8">
        <v>19.3</v>
      </c>
      <c r="C40" s="7">
        <v>78.95</v>
      </c>
      <c r="D40" s="7">
        <v>47.37</v>
      </c>
      <c r="E40" s="8">
        <v>31.58</v>
      </c>
      <c r="F40" s="12">
        <v>2.0583564814814815E-2</v>
      </c>
      <c r="G40" s="7">
        <v>11</v>
      </c>
    </row>
    <row r="41" spans="1:7" x14ac:dyDescent="0.2">
      <c r="A41" s="10" t="s">
        <v>52</v>
      </c>
      <c r="B41" s="11">
        <v>24.5</v>
      </c>
      <c r="C41" s="10">
        <v>75.61</v>
      </c>
      <c r="D41" s="10">
        <v>65.849999999999994</v>
      </c>
      <c r="E41" s="11">
        <v>9.76</v>
      </c>
      <c r="F41" s="13">
        <v>1.8942361111111111E-2</v>
      </c>
      <c r="G41" s="10">
        <v>26</v>
      </c>
    </row>
    <row r="42" spans="1:7" x14ac:dyDescent="0.2">
      <c r="A42" s="7" t="s">
        <v>118</v>
      </c>
      <c r="B42" s="8">
        <v>18.3</v>
      </c>
      <c r="C42" s="7">
        <v>71.790000000000006</v>
      </c>
      <c r="D42" s="7">
        <v>46.15</v>
      </c>
      <c r="E42" s="8">
        <v>25.64</v>
      </c>
      <c r="F42" s="12">
        <v>2.2210648148148149E-2</v>
      </c>
      <c r="G42" s="7">
        <v>23</v>
      </c>
    </row>
    <row r="43" spans="1:7" x14ac:dyDescent="0.2">
      <c r="A43" s="10" t="s">
        <v>36</v>
      </c>
      <c r="B43" s="11">
        <v>38.799999999999997</v>
      </c>
      <c r="C43" s="10">
        <v>87.32</v>
      </c>
      <c r="D43" s="10">
        <v>63.38</v>
      </c>
      <c r="E43" s="11">
        <v>23.94</v>
      </c>
      <c r="F43" s="13">
        <v>2.2252546296296295E-2</v>
      </c>
      <c r="G43" s="10">
        <v>12</v>
      </c>
    </row>
    <row r="44" spans="1:7" x14ac:dyDescent="0.2">
      <c r="A44" s="7" t="s">
        <v>127</v>
      </c>
      <c r="B44" s="8">
        <v>33.1</v>
      </c>
      <c r="C44" s="7">
        <v>81.48</v>
      </c>
      <c r="D44" s="7">
        <v>55.56</v>
      </c>
      <c r="E44" s="8">
        <v>25.93</v>
      </c>
      <c r="F44" s="12">
        <v>2.1561689814814818E-2</v>
      </c>
      <c r="G44" s="7">
        <v>18</v>
      </c>
    </row>
    <row r="45" spans="1:7" x14ac:dyDescent="0.2">
      <c r="A45" s="10" t="s">
        <v>86</v>
      </c>
      <c r="B45" s="11">
        <v>17.899999999999999</v>
      </c>
      <c r="C45" s="10">
        <v>70.59</v>
      </c>
      <c r="D45" s="10">
        <v>55.88</v>
      </c>
      <c r="E45" s="11">
        <v>14.71</v>
      </c>
      <c r="F45" s="13">
        <v>1.7911805555555556E-2</v>
      </c>
      <c r="G45" s="10">
        <v>16</v>
      </c>
    </row>
    <row r="46" spans="1:7" x14ac:dyDescent="0.2">
      <c r="A46" s="7" t="s">
        <v>65</v>
      </c>
      <c r="B46" s="8">
        <v>51.5</v>
      </c>
      <c r="C46" s="7">
        <v>84.52</v>
      </c>
      <c r="D46" s="7">
        <v>75</v>
      </c>
      <c r="E46" s="8">
        <v>9.52</v>
      </c>
      <c r="F46" s="12">
        <v>1.9443518518518516E-2</v>
      </c>
      <c r="G46" s="7">
        <v>13</v>
      </c>
    </row>
    <row r="47" spans="1:7" x14ac:dyDescent="0.2">
      <c r="A47" s="10" t="s">
        <v>58</v>
      </c>
      <c r="B47" s="11">
        <v>35.5</v>
      </c>
      <c r="C47" s="10">
        <v>94.74</v>
      </c>
      <c r="D47" s="10">
        <v>75.44</v>
      </c>
      <c r="E47" s="11">
        <v>19.3</v>
      </c>
      <c r="F47" s="13">
        <v>2.0103240740740741E-2</v>
      </c>
      <c r="G47" s="10">
        <v>22</v>
      </c>
    </row>
    <row r="48" spans="1:7" x14ac:dyDescent="0.2">
      <c r="A48" s="7" t="s">
        <v>21</v>
      </c>
      <c r="B48" s="8">
        <v>33.799999999999997</v>
      </c>
      <c r="C48" s="7">
        <v>84</v>
      </c>
      <c r="D48" s="7">
        <v>76</v>
      </c>
      <c r="E48" s="8">
        <v>8</v>
      </c>
      <c r="F48" s="12">
        <v>2.1944444444444447E-2</v>
      </c>
      <c r="G48" s="7">
        <v>19</v>
      </c>
    </row>
    <row r="49" spans="1:7" x14ac:dyDescent="0.2">
      <c r="A49" s="10" t="s">
        <v>12</v>
      </c>
      <c r="B49" s="11">
        <v>31.2</v>
      </c>
      <c r="C49" s="10">
        <v>92.98</v>
      </c>
      <c r="D49" s="10">
        <v>64.91</v>
      </c>
      <c r="E49" s="11">
        <v>28.07</v>
      </c>
      <c r="F49" s="13">
        <v>2.289444444444445E-2</v>
      </c>
      <c r="G49" s="10">
        <v>13</v>
      </c>
    </row>
    <row r="50" spans="1:7" x14ac:dyDescent="0.2">
      <c r="A50" s="7" t="s">
        <v>70</v>
      </c>
      <c r="B50" s="8">
        <v>29.8</v>
      </c>
      <c r="C50" s="7">
        <v>84.91</v>
      </c>
      <c r="D50" s="7">
        <v>50.94</v>
      </c>
      <c r="E50" s="8">
        <v>33.96</v>
      </c>
      <c r="F50" s="12">
        <v>2.1230439814814817E-2</v>
      </c>
      <c r="G50" s="7">
        <v>17</v>
      </c>
    </row>
    <row r="51" spans="1:7" x14ac:dyDescent="0.2">
      <c r="A51" s="10" t="s">
        <v>78</v>
      </c>
      <c r="B51" s="11">
        <v>40.9</v>
      </c>
      <c r="C51" s="10">
        <v>87.5</v>
      </c>
      <c r="D51" s="10">
        <v>73.44</v>
      </c>
      <c r="E51" s="11">
        <v>14.06</v>
      </c>
      <c r="F51" s="13">
        <v>1.9645023148148148E-2</v>
      </c>
      <c r="G51" s="10">
        <v>20</v>
      </c>
    </row>
    <row r="52" spans="1:7" x14ac:dyDescent="0.2">
      <c r="A52" s="7" t="s">
        <v>97</v>
      </c>
      <c r="B52" s="8">
        <v>20.100000000000001</v>
      </c>
      <c r="C52" s="7">
        <v>71.88</v>
      </c>
      <c r="D52" s="7">
        <v>53.13</v>
      </c>
      <c r="E52" s="8">
        <v>18.75</v>
      </c>
      <c r="F52" s="12">
        <v>2.1790162037037038E-2</v>
      </c>
      <c r="G52" s="7">
        <v>30</v>
      </c>
    </row>
    <row r="53" spans="1:7" x14ac:dyDescent="0.2">
      <c r="A53" s="10" t="s">
        <v>60</v>
      </c>
      <c r="B53" s="11">
        <v>12.7</v>
      </c>
      <c r="C53" s="10">
        <v>68.75</v>
      </c>
      <c r="D53" s="10">
        <v>40.630000000000003</v>
      </c>
      <c r="E53" s="11">
        <v>28.13</v>
      </c>
      <c r="F53" s="13">
        <v>2.020636574074074E-2</v>
      </c>
      <c r="G53" s="10">
        <v>28</v>
      </c>
    </row>
    <row r="54" spans="1:7" x14ac:dyDescent="0.2">
      <c r="A54" s="7" t="s">
        <v>1</v>
      </c>
      <c r="B54" s="8">
        <v>24.4</v>
      </c>
      <c r="C54" s="7">
        <v>73.17</v>
      </c>
      <c r="D54" s="7">
        <v>63.41</v>
      </c>
      <c r="E54" s="8">
        <v>9.76</v>
      </c>
      <c r="F54" s="12">
        <v>2.0876736111111113E-2</v>
      </c>
      <c r="G54" s="7">
        <v>24</v>
      </c>
    </row>
    <row r="55" spans="1:7" x14ac:dyDescent="0.2">
      <c r="A55" s="10" t="s">
        <v>39</v>
      </c>
      <c r="B55" s="11">
        <v>31.4</v>
      </c>
      <c r="C55" s="10">
        <v>86.54</v>
      </c>
      <c r="D55" s="10">
        <v>51.92</v>
      </c>
      <c r="E55" s="11">
        <v>34.619999999999997</v>
      </c>
      <c r="F55" s="13">
        <v>1.8124074074074074E-2</v>
      </c>
      <c r="G55" s="10">
        <v>15</v>
      </c>
    </row>
    <row r="56" spans="1:7" x14ac:dyDescent="0.2">
      <c r="A56" s="7" t="s">
        <v>93</v>
      </c>
      <c r="B56" s="8">
        <v>23.3</v>
      </c>
      <c r="C56" s="7">
        <v>75.56</v>
      </c>
      <c r="D56" s="7">
        <v>51.11</v>
      </c>
      <c r="E56" s="8">
        <v>24.44</v>
      </c>
      <c r="F56" s="12">
        <v>2.0625000000000001E-2</v>
      </c>
      <c r="G56" s="7">
        <v>19</v>
      </c>
    </row>
    <row r="57" spans="1:7" x14ac:dyDescent="0.2">
      <c r="A57" s="10" t="s">
        <v>84</v>
      </c>
      <c r="B57" s="11">
        <v>29.8</v>
      </c>
      <c r="C57" s="10">
        <v>93.48</v>
      </c>
      <c r="D57" s="10">
        <v>63.04</v>
      </c>
      <c r="E57" s="11">
        <v>30.43</v>
      </c>
      <c r="F57" s="13">
        <v>2.0953472222222224E-2</v>
      </c>
      <c r="G57" s="10">
        <v>27</v>
      </c>
    </row>
    <row r="58" spans="1:7" x14ac:dyDescent="0.2">
      <c r="A58" s="7" t="s">
        <v>104</v>
      </c>
      <c r="B58" s="8">
        <v>20</v>
      </c>
      <c r="C58" s="7">
        <v>81.819999999999993</v>
      </c>
      <c r="D58" s="7">
        <v>52.27</v>
      </c>
      <c r="E58" s="8">
        <v>29.55</v>
      </c>
      <c r="F58" s="12">
        <v>2.3117824074074075E-2</v>
      </c>
      <c r="G58" s="7">
        <v>18</v>
      </c>
    </row>
    <row r="59" spans="1:7" x14ac:dyDescent="0.2">
      <c r="A59" s="10" t="s">
        <v>91</v>
      </c>
      <c r="B59" s="11">
        <v>26.6</v>
      </c>
      <c r="C59" s="10">
        <v>82.22</v>
      </c>
      <c r="D59" s="10">
        <v>48.89</v>
      </c>
      <c r="E59" s="11">
        <v>33.33</v>
      </c>
      <c r="F59" s="13">
        <v>1.9749189814814817E-2</v>
      </c>
      <c r="G59" s="10">
        <v>18</v>
      </c>
    </row>
    <row r="60" spans="1:7" x14ac:dyDescent="0.2">
      <c r="A60" s="7" t="s">
        <v>107</v>
      </c>
      <c r="B60" s="8">
        <v>22.1</v>
      </c>
      <c r="C60" s="7">
        <v>82.93</v>
      </c>
      <c r="D60" s="7">
        <v>60.98</v>
      </c>
      <c r="E60" s="8">
        <v>21.95</v>
      </c>
      <c r="F60" s="12">
        <v>2.1563425925925927E-2</v>
      </c>
      <c r="G60" s="7">
        <v>22</v>
      </c>
    </row>
    <row r="61" spans="1:7" x14ac:dyDescent="0.2">
      <c r="A61" s="10" t="s">
        <v>34</v>
      </c>
      <c r="B61" s="11">
        <v>31.5</v>
      </c>
      <c r="C61" s="10">
        <v>91.11</v>
      </c>
      <c r="D61" s="10">
        <v>66.67</v>
      </c>
      <c r="E61" s="11">
        <v>24.44</v>
      </c>
      <c r="F61" s="13">
        <v>1.9489004629629627E-2</v>
      </c>
      <c r="G61" s="10">
        <v>29</v>
      </c>
    </row>
    <row r="62" spans="1:7" x14ac:dyDescent="0.2">
      <c r="A62" s="7" t="s">
        <v>35</v>
      </c>
      <c r="B62" s="8">
        <v>29.5</v>
      </c>
      <c r="C62" s="7">
        <v>76.47</v>
      </c>
      <c r="D62" s="7">
        <v>60.78</v>
      </c>
      <c r="E62" s="8">
        <v>15.69</v>
      </c>
      <c r="F62" s="12">
        <v>2.0846643518518518E-2</v>
      </c>
      <c r="G62" s="7">
        <v>18</v>
      </c>
    </row>
    <row r="63" spans="1:7" x14ac:dyDescent="0.2">
      <c r="A63" s="10" t="s">
        <v>10</v>
      </c>
      <c r="B63" s="11">
        <v>25.8</v>
      </c>
      <c r="C63" s="10">
        <v>76.92</v>
      </c>
      <c r="D63" s="10">
        <v>51.28</v>
      </c>
      <c r="E63" s="11">
        <v>25.64</v>
      </c>
      <c r="F63" s="13">
        <v>2.0760995370370371E-2</v>
      </c>
      <c r="G63" s="10">
        <v>22</v>
      </c>
    </row>
    <row r="64" spans="1:7" x14ac:dyDescent="0.2">
      <c r="A64" s="7" t="s">
        <v>49</v>
      </c>
      <c r="B64" s="8">
        <v>25</v>
      </c>
      <c r="C64" s="7">
        <v>79.17</v>
      </c>
      <c r="D64" s="7">
        <v>60.42</v>
      </c>
      <c r="E64" s="8">
        <v>18.75</v>
      </c>
      <c r="F64" s="12">
        <v>2.1652430555555557E-2</v>
      </c>
      <c r="G64" s="7">
        <v>19</v>
      </c>
    </row>
    <row r="65" spans="1:7" x14ac:dyDescent="0.2">
      <c r="A65" s="10" t="s">
        <v>83</v>
      </c>
      <c r="B65" s="11">
        <v>34.799999999999997</v>
      </c>
      <c r="C65" s="10">
        <v>85.48</v>
      </c>
      <c r="D65" s="10">
        <v>62.9</v>
      </c>
      <c r="E65" s="11">
        <v>22.58</v>
      </c>
      <c r="F65" s="13">
        <v>2.1499652777777777E-2</v>
      </c>
      <c r="G65" s="10">
        <v>35</v>
      </c>
    </row>
    <row r="66" spans="1:7" x14ac:dyDescent="0.2">
      <c r="A66" s="7" t="s">
        <v>69</v>
      </c>
      <c r="B66" s="8">
        <v>37.799999999999997</v>
      </c>
      <c r="C66" s="7">
        <v>83.33</v>
      </c>
      <c r="D66" s="7">
        <v>70.83</v>
      </c>
      <c r="E66" s="8">
        <v>12.5</v>
      </c>
      <c r="F66" s="12">
        <v>2.120810185185185E-2</v>
      </c>
      <c r="G66" s="7">
        <v>22</v>
      </c>
    </row>
    <row r="67" spans="1:7" x14ac:dyDescent="0.2">
      <c r="A67" s="10" t="s">
        <v>111</v>
      </c>
      <c r="B67" s="11">
        <v>25.8</v>
      </c>
      <c r="C67" s="10">
        <v>77.08</v>
      </c>
      <c r="D67" s="10">
        <v>60.42</v>
      </c>
      <c r="E67" s="11">
        <v>16.670000000000002</v>
      </c>
      <c r="F67" s="13">
        <v>2.3465972222222218E-2</v>
      </c>
      <c r="G67" s="10">
        <v>14</v>
      </c>
    </row>
    <row r="68" spans="1:7" x14ac:dyDescent="0.2">
      <c r="A68" s="7" t="s">
        <v>50</v>
      </c>
      <c r="B68" s="8">
        <v>18.7</v>
      </c>
      <c r="C68" s="7">
        <v>79.17</v>
      </c>
      <c r="D68" s="7">
        <v>75</v>
      </c>
      <c r="E68" s="8">
        <v>4.17</v>
      </c>
      <c r="F68" s="12">
        <v>2.0290277777777779E-2</v>
      </c>
      <c r="G68" s="7">
        <v>27</v>
      </c>
    </row>
    <row r="69" spans="1:7" x14ac:dyDescent="0.2">
      <c r="A69" s="10" t="s">
        <v>82</v>
      </c>
      <c r="B69" s="11">
        <v>40.6</v>
      </c>
      <c r="C69" s="10">
        <v>80.95</v>
      </c>
      <c r="D69" s="10">
        <v>61.9</v>
      </c>
      <c r="E69" s="11">
        <v>19.05</v>
      </c>
      <c r="F69" s="13">
        <v>1.8657407407407407E-2</v>
      </c>
      <c r="G69" s="10">
        <v>18</v>
      </c>
    </row>
    <row r="70" spans="1:7" x14ac:dyDescent="0.2">
      <c r="A70" s="7" t="s">
        <v>46</v>
      </c>
      <c r="B70" s="8">
        <v>28.1</v>
      </c>
      <c r="C70" s="7">
        <v>81.819999999999993</v>
      </c>
      <c r="D70" s="7">
        <v>61.36</v>
      </c>
      <c r="E70" s="8">
        <v>20.45</v>
      </c>
      <c r="F70" s="12">
        <v>2.1162731481481484E-2</v>
      </c>
      <c r="G70" s="7">
        <v>33</v>
      </c>
    </row>
    <row r="71" spans="1:7" x14ac:dyDescent="0.2">
      <c r="A71" s="10" t="s">
        <v>16</v>
      </c>
      <c r="B71" s="11">
        <v>20.9</v>
      </c>
      <c r="C71" s="10">
        <v>71.430000000000007</v>
      </c>
      <c r="D71" s="10">
        <v>50</v>
      </c>
      <c r="E71" s="11">
        <v>21.43</v>
      </c>
      <c r="F71" s="13">
        <v>2.2879976851851853E-2</v>
      </c>
      <c r="G71" s="10">
        <v>19</v>
      </c>
    </row>
    <row r="72" spans="1:7" x14ac:dyDescent="0.2">
      <c r="A72" s="7" t="s">
        <v>51</v>
      </c>
      <c r="B72" s="8">
        <v>38.6</v>
      </c>
      <c r="C72" s="7">
        <v>80.28</v>
      </c>
      <c r="D72" s="7">
        <v>70.42</v>
      </c>
      <c r="E72" s="8">
        <v>9.86</v>
      </c>
      <c r="F72" s="12">
        <v>1.8892245370370372E-2</v>
      </c>
      <c r="G72" s="7">
        <v>20</v>
      </c>
    </row>
    <row r="73" spans="1:7" x14ac:dyDescent="0.2">
      <c r="A73" s="10" t="s">
        <v>55</v>
      </c>
      <c r="B73" s="11">
        <v>31.7</v>
      </c>
      <c r="C73" s="10">
        <v>87.72</v>
      </c>
      <c r="D73" s="10">
        <v>59.65</v>
      </c>
      <c r="E73" s="11">
        <v>28.07</v>
      </c>
      <c r="F73" s="13">
        <v>2.1004282407407409E-2</v>
      </c>
      <c r="G73" s="10">
        <v>15</v>
      </c>
    </row>
    <row r="74" spans="1:7" x14ac:dyDescent="0.2">
      <c r="A74" s="7" t="s">
        <v>23</v>
      </c>
      <c r="B74" s="8">
        <v>25.8</v>
      </c>
      <c r="C74" s="7">
        <v>80</v>
      </c>
      <c r="D74" s="7">
        <v>48.33</v>
      </c>
      <c r="E74" s="8">
        <v>31.67</v>
      </c>
      <c r="F74" s="12">
        <v>2.2039699074074076E-2</v>
      </c>
      <c r="G74" s="7">
        <v>15</v>
      </c>
    </row>
    <row r="75" spans="1:7" x14ac:dyDescent="0.2">
      <c r="A75" s="10" t="s">
        <v>13</v>
      </c>
      <c r="B75" s="11">
        <v>31.7</v>
      </c>
      <c r="C75" s="10">
        <v>79.03</v>
      </c>
      <c r="D75" s="10">
        <v>53.23</v>
      </c>
      <c r="E75" s="11">
        <v>25.81</v>
      </c>
      <c r="F75" s="13">
        <v>2.1306944444444444E-2</v>
      </c>
      <c r="G75" s="10">
        <v>10</v>
      </c>
    </row>
    <row r="76" spans="1:7" x14ac:dyDescent="0.2">
      <c r="A76" s="7" t="s">
        <v>4</v>
      </c>
      <c r="B76" s="8">
        <v>37.200000000000003</v>
      </c>
      <c r="C76" s="7">
        <v>86.54</v>
      </c>
      <c r="D76" s="7">
        <v>75</v>
      </c>
      <c r="E76" s="8">
        <v>11.54</v>
      </c>
      <c r="F76" s="12">
        <v>2.0918171296296296E-2</v>
      </c>
      <c r="G76" s="7">
        <v>18</v>
      </c>
    </row>
    <row r="77" spans="1:7" x14ac:dyDescent="0.2">
      <c r="A77" s="10" t="s">
        <v>3</v>
      </c>
      <c r="B77" s="11">
        <v>38.200000000000003</v>
      </c>
      <c r="C77" s="10">
        <v>91.04</v>
      </c>
      <c r="D77" s="10">
        <v>68.66</v>
      </c>
      <c r="E77" s="11">
        <v>22.39</v>
      </c>
      <c r="F77" s="13">
        <v>2.157048611111111E-2</v>
      </c>
      <c r="G77" s="10">
        <v>20</v>
      </c>
    </row>
    <row r="78" spans="1:7" x14ac:dyDescent="0.2">
      <c r="A78" s="7" t="s">
        <v>2</v>
      </c>
      <c r="B78" s="8">
        <v>45.7</v>
      </c>
      <c r="C78" s="7">
        <v>93.06</v>
      </c>
      <c r="D78" s="7">
        <v>66.67</v>
      </c>
      <c r="E78" s="8">
        <v>26.39</v>
      </c>
      <c r="F78" s="12">
        <v>1.8983217592592593E-2</v>
      </c>
      <c r="G78" s="7">
        <v>22</v>
      </c>
    </row>
    <row r="79" spans="1:7" x14ac:dyDescent="0.2">
      <c r="A79" s="10" t="s">
        <v>18</v>
      </c>
      <c r="B79" s="11">
        <v>49.6</v>
      </c>
      <c r="C79" s="10">
        <v>90.41</v>
      </c>
      <c r="D79" s="10">
        <v>80.819999999999993</v>
      </c>
      <c r="E79" s="11">
        <v>9.59</v>
      </c>
      <c r="F79" s="13">
        <v>1.9498726851851854E-2</v>
      </c>
      <c r="G79" s="10">
        <v>19</v>
      </c>
    </row>
    <row r="80" spans="1:7" x14ac:dyDescent="0.2">
      <c r="A80" s="7" t="s">
        <v>112</v>
      </c>
      <c r="B80" s="8">
        <v>32.5</v>
      </c>
      <c r="C80" s="7">
        <v>91.38</v>
      </c>
      <c r="D80" s="7">
        <v>70.69</v>
      </c>
      <c r="E80" s="8">
        <v>20.69</v>
      </c>
      <c r="F80" s="12">
        <v>2.2255208333333332E-2</v>
      </c>
      <c r="G80" s="7">
        <v>23</v>
      </c>
    </row>
    <row r="81" spans="1:7" x14ac:dyDescent="0.2">
      <c r="A81" s="10" t="s">
        <v>6</v>
      </c>
      <c r="B81" s="11">
        <v>29.1</v>
      </c>
      <c r="C81" s="10">
        <v>78.95</v>
      </c>
      <c r="D81" s="10">
        <v>54.39</v>
      </c>
      <c r="E81" s="11">
        <v>24.56</v>
      </c>
      <c r="F81" s="13">
        <v>2.1781481481481482E-2</v>
      </c>
      <c r="G81" s="10">
        <v>13</v>
      </c>
    </row>
    <row r="82" spans="1:7" x14ac:dyDescent="0.2">
      <c r="A82" s="7" t="s">
        <v>99</v>
      </c>
      <c r="B82" s="8">
        <v>26.6</v>
      </c>
      <c r="C82" s="7">
        <v>82.46</v>
      </c>
      <c r="D82" s="7">
        <v>61.4</v>
      </c>
      <c r="E82" s="8">
        <v>21.05</v>
      </c>
      <c r="F82" s="12">
        <v>2.1471643518518518E-2</v>
      </c>
      <c r="G82" s="7">
        <v>10</v>
      </c>
    </row>
    <row r="83" spans="1:7" x14ac:dyDescent="0.2">
      <c r="A83" s="10" t="s">
        <v>96</v>
      </c>
      <c r="B83" s="11">
        <v>28.7</v>
      </c>
      <c r="C83" s="10">
        <v>77.55</v>
      </c>
      <c r="D83" s="10">
        <v>63.27</v>
      </c>
      <c r="E83" s="11">
        <v>14.29</v>
      </c>
      <c r="F83" s="13">
        <v>2.1025694444444448E-2</v>
      </c>
      <c r="G83" s="10">
        <v>27</v>
      </c>
    </row>
    <row r="84" spans="1:7" x14ac:dyDescent="0.2">
      <c r="A84" s="7" t="s">
        <v>123</v>
      </c>
      <c r="B84" s="8">
        <v>31.8</v>
      </c>
      <c r="C84" s="7">
        <v>83.33</v>
      </c>
      <c r="D84" s="7">
        <v>57.41</v>
      </c>
      <c r="E84" s="8">
        <v>25.93</v>
      </c>
      <c r="F84" s="12">
        <v>2.3610185185185182E-2</v>
      </c>
      <c r="G84" s="7">
        <v>22</v>
      </c>
    </row>
    <row r="85" spans="1:7" x14ac:dyDescent="0.2">
      <c r="A85" s="10" t="s">
        <v>119</v>
      </c>
      <c r="B85" s="11">
        <v>21.5</v>
      </c>
      <c r="C85" s="10">
        <v>71.88</v>
      </c>
      <c r="D85" s="10">
        <v>50</v>
      </c>
      <c r="E85" s="11">
        <v>21.88</v>
      </c>
      <c r="F85" s="13">
        <v>2.0914351851851851E-2</v>
      </c>
      <c r="G85" s="10">
        <v>22</v>
      </c>
    </row>
    <row r="86" spans="1:7" x14ac:dyDescent="0.2">
      <c r="A86" s="7" t="s">
        <v>48</v>
      </c>
      <c r="B86" s="8">
        <v>32.799999999999997</v>
      </c>
      <c r="C86" s="7">
        <v>90</v>
      </c>
      <c r="D86" s="7">
        <v>72</v>
      </c>
      <c r="E86" s="8">
        <v>18</v>
      </c>
      <c r="F86" s="12">
        <v>2.1477893518518518E-2</v>
      </c>
      <c r="G86" s="7">
        <v>25</v>
      </c>
    </row>
    <row r="87" spans="1:7" x14ac:dyDescent="0.2">
      <c r="A87" s="10" t="s">
        <v>124</v>
      </c>
      <c r="B87" s="11">
        <v>34.799999999999997</v>
      </c>
      <c r="C87" s="10">
        <v>82.14</v>
      </c>
      <c r="D87" s="10">
        <v>57.14</v>
      </c>
      <c r="E87" s="11">
        <v>25</v>
      </c>
      <c r="F87" s="13">
        <v>2.2399421296296296E-2</v>
      </c>
      <c r="G87" s="10">
        <v>24</v>
      </c>
    </row>
    <row r="88" spans="1:7" x14ac:dyDescent="0.2">
      <c r="A88" s="7" t="s">
        <v>7</v>
      </c>
      <c r="B88" s="8">
        <v>30.5</v>
      </c>
      <c r="C88" s="7">
        <v>78.430000000000007</v>
      </c>
      <c r="D88" s="7">
        <v>49.02</v>
      </c>
      <c r="E88" s="8">
        <v>29.41</v>
      </c>
      <c r="F88" s="12">
        <v>2.3018171296296297E-2</v>
      </c>
      <c r="G88" s="7">
        <v>23</v>
      </c>
    </row>
    <row r="89" spans="1:7" x14ac:dyDescent="0.2">
      <c r="A89" s="10" t="s">
        <v>116</v>
      </c>
      <c r="B89" s="11">
        <v>18.5</v>
      </c>
      <c r="C89" s="10">
        <v>77.08</v>
      </c>
      <c r="D89" s="10">
        <v>47.92</v>
      </c>
      <c r="E89" s="11">
        <v>29.17</v>
      </c>
      <c r="F89" s="13">
        <v>2.0476273148148146E-2</v>
      </c>
      <c r="G89" s="10">
        <v>33</v>
      </c>
    </row>
    <row r="90" spans="1:7" x14ac:dyDescent="0.2">
      <c r="A90" s="7" t="s">
        <v>98</v>
      </c>
      <c r="B90" s="8">
        <v>31.5</v>
      </c>
      <c r="C90" s="7">
        <v>81.25</v>
      </c>
      <c r="D90" s="7">
        <v>64.58</v>
      </c>
      <c r="E90" s="8">
        <v>16.670000000000002</v>
      </c>
      <c r="F90" s="12">
        <v>2.0673032407407407E-2</v>
      </c>
      <c r="G90" s="7">
        <v>20</v>
      </c>
    </row>
    <row r="91" spans="1:7" x14ac:dyDescent="0.2">
      <c r="A91" s="10" t="s">
        <v>15</v>
      </c>
      <c r="B91" s="11">
        <v>20.6</v>
      </c>
      <c r="C91" s="10">
        <v>88.24</v>
      </c>
      <c r="D91" s="10">
        <v>52.94</v>
      </c>
      <c r="E91" s="11">
        <v>35.29</v>
      </c>
      <c r="F91" s="13">
        <v>1.8968981481481482E-2</v>
      </c>
      <c r="G91" s="10">
        <v>29</v>
      </c>
    </row>
    <row r="92" spans="1:7" x14ac:dyDescent="0.2">
      <c r="A92" s="7" t="s">
        <v>47</v>
      </c>
      <c r="B92" s="8">
        <v>19.7</v>
      </c>
      <c r="C92" s="7">
        <v>76.47</v>
      </c>
      <c r="D92" s="7">
        <v>58.82</v>
      </c>
      <c r="E92" s="8">
        <v>17.649999999999999</v>
      </c>
      <c r="F92" s="12">
        <v>1.9250578703703704E-2</v>
      </c>
      <c r="G92" s="7">
        <v>28</v>
      </c>
    </row>
    <row r="93" spans="1:7" x14ac:dyDescent="0.2">
      <c r="A93" s="10" t="s">
        <v>37</v>
      </c>
      <c r="B93" s="11">
        <v>27.9</v>
      </c>
      <c r="C93" s="10">
        <v>86.27</v>
      </c>
      <c r="D93" s="10">
        <v>60.78</v>
      </c>
      <c r="E93" s="11">
        <v>25.49</v>
      </c>
      <c r="F93" s="13">
        <v>2.2020486111111112E-2</v>
      </c>
      <c r="G93" s="10">
        <v>18</v>
      </c>
    </row>
    <row r="94" spans="1:7" x14ac:dyDescent="0.2">
      <c r="A94" s="7" t="s">
        <v>75</v>
      </c>
      <c r="B94" s="8">
        <v>30</v>
      </c>
      <c r="C94" s="7">
        <v>81.36</v>
      </c>
      <c r="D94" s="7">
        <v>61.02</v>
      </c>
      <c r="E94" s="8">
        <v>20.34</v>
      </c>
      <c r="F94" s="12">
        <v>2.0434490740740743E-2</v>
      </c>
      <c r="G94" s="7">
        <v>22</v>
      </c>
    </row>
    <row r="95" spans="1:7" x14ac:dyDescent="0.2">
      <c r="A95" s="10" t="s">
        <v>27</v>
      </c>
      <c r="B95" s="11">
        <v>28.3</v>
      </c>
      <c r="C95" s="10">
        <v>71.930000000000007</v>
      </c>
      <c r="D95" s="10">
        <v>49.12</v>
      </c>
      <c r="E95" s="11">
        <v>22.81</v>
      </c>
      <c r="F95" s="13">
        <v>2.2735069444444447E-2</v>
      </c>
      <c r="G95" s="10">
        <v>29</v>
      </c>
    </row>
    <row r="96" spans="1:7" x14ac:dyDescent="0.2">
      <c r="A96" s="7" t="s">
        <v>90</v>
      </c>
      <c r="B96" s="8">
        <v>24.7</v>
      </c>
      <c r="C96" s="7">
        <v>90.32</v>
      </c>
      <c r="D96" s="7">
        <v>64.52</v>
      </c>
      <c r="E96" s="8">
        <v>25.81</v>
      </c>
      <c r="F96" s="12">
        <v>2.0555555555555556E-2</v>
      </c>
      <c r="G96" s="7">
        <v>19</v>
      </c>
    </row>
    <row r="97" spans="1:7" x14ac:dyDescent="0.2">
      <c r="A97" s="10" t="s">
        <v>117</v>
      </c>
      <c r="B97" s="11">
        <v>36.200000000000003</v>
      </c>
      <c r="C97" s="10">
        <v>86.44</v>
      </c>
      <c r="D97" s="10">
        <v>61.02</v>
      </c>
      <c r="E97" s="11">
        <v>25.42</v>
      </c>
      <c r="F97" s="13">
        <v>1.8730671296296294E-2</v>
      </c>
      <c r="G97" s="10">
        <v>23</v>
      </c>
    </row>
    <row r="98" spans="1:7" x14ac:dyDescent="0.2">
      <c r="A98" s="7" t="s">
        <v>61</v>
      </c>
      <c r="B98" s="8">
        <v>35.700000000000003</v>
      </c>
      <c r="C98" s="7">
        <v>84.13</v>
      </c>
      <c r="D98" s="7">
        <v>69.84</v>
      </c>
      <c r="E98" s="8">
        <v>14.29</v>
      </c>
      <c r="F98" s="12">
        <v>2.1409374999999998E-2</v>
      </c>
      <c r="G98" s="7">
        <v>16</v>
      </c>
    </row>
    <row r="99" spans="1:7" x14ac:dyDescent="0.2">
      <c r="A99" s="10" t="s">
        <v>43</v>
      </c>
      <c r="B99" s="11">
        <v>44.5</v>
      </c>
      <c r="C99" s="10">
        <v>86.76</v>
      </c>
      <c r="D99" s="10">
        <v>73.53</v>
      </c>
      <c r="E99" s="11">
        <v>13.24</v>
      </c>
      <c r="F99" s="13">
        <v>1.9543287037037036E-2</v>
      </c>
      <c r="G99" s="10">
        <v>21</v>
      </c>
    </row>
    <row r="100" spans="1:7" x14ac:dyDescent="0.2">
      <c r="A100" s="7" t="s">
        <v>121</v>
      </c>
      <c r="B100" s="8">
        <v>28.6</v>
      </c>
      <c r="C100" s="7">
        <v>81.58</v>
      </c>
      <c r="D100" s="7">
        <v>63.16</v>
      </c>
      <c r="E100" s="8">
        <v>18.420000000000002</v>
      </c>
      <c r="F100" s="12">
        <v>2.0825578703703704E-2</v>
      </c>
      <c r="G100" s="7">
        <v>16</v>
      </c>
    </row>
    <row r="101" spans="1:7" x14ac:dyDescent="0.2">
      <c r="A101" s="10" t="s">
        <v>28</v>
      </c>
      <c r="B101" s="11">
        <v>37.5</v>
      </c>
      <c r="C101" s="10">
        <v>86.76</v>
      </c>
      <c r="D101" s="10">
        <v>66.180000000000007</v>
      </c>
      <c r="E101" s="11">
        <v>20.59</v>
      </c>
      <c r="F101" s="13">
        <v>2.0990046296296295E-2</v>
      </c>
      <c r="G101" s="10">
        <v>24</v>
      </c>
    </row>
    <row r="102" spans="1:7" x14ac:dyDescent="0.2">
      <c r="A102" s="7" t="s">
        <v>14</v>
      </c>
      <c r="B102" s="8">
        <v>31.5</v>
      </c>
      <c r="C102" s="7">
        <v>79.63</v>
      </c>
      <c r="D102" s="7">
        <v>44.44</v>
      </c>
      <c r="E102" s="8">
        <v>35.19</v>
      </c>
      <c r="F102" s="12">
        <v>2.1875000000000002E-2</v>
      </c>
      <c r="G102" s="7">
        <v>20</v>
      </c>
    </row>
    <row r="103" spans="1:7" x14ac:dyDescent="0.2">
      <c r="A103" s="10" t="s">
        <v>53</v>
      </c>
      <c r="B103" s="11">
        <v>30.6</v>
      </c>
      <c r="C103" s="10">
        <v>78.849999999999994</v>
      </c>
      <c r="D103" s="10">
        <v>55.77</v>
      </c>
      <c r="E103" s="11">
        <v>23.08</v>
      </c>
      <c r="F103" s="13">
        <v>2.0953935185185183E-2</v>
      </c>
      <c r="G103" s="10">
        <v>26</v>
      </c>
    </row>
    <row r="104" spans="1:7" x14ac:dyDescent="0.2">
      <c r="A104" s="7" t="s">
        <v>74</v>
      </c>
      <c r="B104" s="8">
        <v>21.4</v>
      </c>
      <c r="C104" s="7">
        <v>77.42</v>
      </c>
      <c r="D104" s="7">
        <v>41.94</v>
      </c>
      <c r="E104" s="8">
        <v>35.479999999999997</v>
      </c>
      <c r="F104" s="12">
        <v>2.0407986111111113E-2</v>
      </c>
      <c r="G104" s="7">
        <v>33</v>
      </c>
    </row>
    <row r="105" spans="1:7" x14ac:dyDescent="0.2">
      <c r="A105" s="10" t="s">
        <v>59</v>
      </c>
      <c r="B105" s="11">
        <v>34.700000000000003</v>
      </c>
      <c r="C105" s="10">
        <v>79.709999999999994</v>
      </c>
      <c r="D105" s="10">
        <v>65.22</v>
      </c>
      <c r="E105" s="11">
        <v>14.49</v>
      </c>
      <c r="F105" s="13">
        <v>2.104664351851852E-2</v>
      </c>
      <c r="G105" s="10">
        <v>24</v>
      </c>
    </row>
    <row r="106" spans="1:7" x14ac:dyDescent="0.2">
      <c r="A106" s="7" t="s">
        <v>56</v>
      </c>
      <c r="B106" s="8">
        <v>28.3</v>
      </c>
      <c r="C106" s="7">
        <v>84.44</v>
      </c>
      <c r="D106" s="7">
        <v>64.44</v>
      </c>
      <c r="E106" s="8">
        <v>20</v>
      </c>
      <c r="F106" s="12">
        <v>2.1366666666666669E-2</v>
      </c>
      <c r="G106" s="7">
        <v>27</v>
      </c>
    </row>
    <row r="107" spans="1:7" x14ac:dyDescent="0.2">
      <c r="A107" s="10" t="s">
        <v>0</v>
      </c>
      <c r="B107" s="11">
        <v>35.4</v>
      </c>
      <c r="C107" s="10">
        <v>85.48</v>
      </c>
      <c r="D107" s="10">
        <v>72.58</v>
      </c>
      <c r="E107" s="11">
        <v>12.9</v>
      </c>
      <c r="F107" s="13">
        <v>2.1308680555555556E-2</v>
      </c>
      <c r="G107" s="10">
        <v>15</v>
      </c>
    </row>
    <row r="108" spans="1:7" x14ac:dyDescent="0.2">
      <c r="A108" s="7" t="s">
        <v>31</v>
      </c>
      <c r="B108" s="8">
        <v>34.4</v>
      </c>
      <c r="C108" s="7">
        <v>81.819999999999993</v>
      </c>
      <c r="D108" s="7">
        <v>60.61</v>
      </c>
      <c r="E108" s="8">
        <v>21.21</v>
      </c>
      <c r="F108" s="12">
        <v>2.0591898148148147E-2</v>
      </c>
      <c r="G108" s="7">
        <v>25</v>
      </c>
    </row>
    <row r="109" spans="1:7" x14ac:dyDescent="0.2">
      <c r="A109" s="10" t="s">
        <v>62</v>
      </c>
      <c r="B109" s="11">
        <v>22</v>
      </c>
      <c r="C109" s="10">
        <v>79.489999999999995</v>
      </c>
      <c r="D109" s="10">
        <v>56.41</v>
      </c>
      <c r="E109" s="11">
        <v>23.08</v>
      </c>
      <c r="F109" s="13">
        <v>2.0403356481481481E-2</v>
      </c>
      <c r="G109" s="10">
        <v>23</v>
      </c>
    </row>
    <row r="110" spans="1:7" x14ac:dyDescent="0.2">
      <c r="A110" s="7" t="s">
        <v>26</v>
      </c>
      <c r="B110" s="8">
        <v>32.1</v>
      </c>
      <c r="C110" s="7">
        <v>74.55</v>
      </c>
      <c r="D110" s="7">
        <v>60</v>
      </c>
      <c r="E110" s="8">
        <v>14.55</v>
      </c>
      <c r="F110" s="12">
        <v>2.0262615740740741E-2</v>
      </c>
      <c r="G110" s="7">
        <v>34</v>
      </c>
    </row>
    <row r="111" spans="1:7" x14ac:dyDescent="0.2">
      <c r="A111" s="10" t="s">
        <v>57</v>
      </c>
      <c r="B111" s="11">
        <v>26.7</v>
      </c>
      <c r="C111" s="10">
        <v>77.5</v>
      </c>
      <c r="D111" s="10">
        <v>65</v>
      </c>
      <c r="E111" s="11">
        <v>12.5</v>
      </c>
      <c r="F111" s="13">
        <v>2.231284722222222E-2</v>
      </c>
      <c r="G111" s="10">
        <v>18</v>
      </c>
    </row>
    <row r="112" spans="1:7" x14ac:dyDescent="0.2">
      <c r="A112" s="7" t="s">
        <v>44</v>
      </c>
      <c r="B112" s="8">
        <v>34.9</v>
      </c>
      <c r="C112" s="7">
        <v>82.35</v>
      </c>
      <c r="D112" s="7">
        <v>64.709999999999994</v>
      </c>
      <c r="E112" s="8">
        <v>17.649999999999999</v>
      </c>
      <c r="F112" s="12">
        <v>1.943460648148148E-2</v>
      </c>
      <c r="G112" s="7">
        <v>21</v>
      </c>
    </row>
    <row r="113" spans="1:7" x14ac:dyDescent="0.2">
      <c r="A113" s="10" t="s">
        <v>128</v>
      </c>
      <c r="B113" s="11">
        <v>21.2</v>
      </c>
      <c r="C113" s="10">
        <v>70</v>
      </c>
      <c r="D113" s="10">
        <v>47.5</v>
      </c>
      <c r="E113" s="11">
        <v>22.5</v>
      </c>
      <c r="F113" s="13">
        <v>2.0524652777777777E-2</v>
      </c>
      <c r="G113" s="10">
        <v>23</v>
      </c>
    </row>
    <row r="114" spans="1:7" x14ac:dyDescent="0.2">
      <c r="A114" s="7" t="s">
        <v>102</v>
      </c>
      <c r="B114" s="8">
        <v>29.1</v>
      </c>
      <c r="C114" s="7">
        <v>81.08</v>
      </c>
      <c r="D114" s="7">
        <v>51.35</v>
      </c>
      <c r="E114" s="8">
        <v>29.73</v>
      </c>
      <c r="F114" s="12">
        <v>2.215162037037037E-2</v>
      </c>
      <c r="G114" s="7">
        <v>13</v>
      </c>
    </row>
    <row r="115" spans="1:7" x14ac:dyDescent="0.2">
      <c r="A115" s="10" t="s">
        <v>92</v>
      </c>
      <c r="B115" s="11">
        <v>30</v>
      </c>
      <c r="C115" s="10">
        <v>76</v>
      </c>
      <c r="D115" s="10">
        <v>50</v>
      </c>
      <c r="E115" s="11">
        <v>26</v>
      </c>
      <c r="F115" s="13">
        <v>2.0961574074074073E-2</v>
      </c>
      <c r="G115" s="10">
        <v>18</v>
      </c>
    </row>
    <row r="116" spans="1:7" x14ac:dyDescent="0.2">
      <c r="A116" s="7" t="s">
        <v>100</v>
      </c>
      <c r="B116" s="8">
        <v>22.8</v>
      </c>
      <c r="C116" s="7">
        <v>80</v>
      </c>
      <c r="D116" s="7">
        <v>60</v>
      </c>
      <c r="E116" s="8">
        <v>20</v>
      </c>
      <c r="F116" s="12">
        <v>2.2347569444444448E-2</v>
      </c>
      <c r="G116" s="7">
        <v>26</v>
      </c>
    </row>
    <row r="117" spans="1:7" x14ac:dyDescent="0.2">
      <c r="A117" s="10" t="s">
        <v>64</v>
      </c>
      <c r="B117" s="11">
        <v>25.1</v>
      </c>
      <c r="C117" s="10">
        <v>87.8</v>
      </c>
      <c r="D117" s="10">
        <v>51.22</v>
      </c>
      <c r="E117" s="11">
        <v>36.590000000000003</v>
      </c>
      <c r="F117" s="13">
        <v>2.0922337962962962E-2</v>
      </c>
      <c r="G117" s="10">
        <v>26</v>
      </c>
    </row>
    <row r="118" spans="1:7" x14ac:dyDescent="0.2">
      <c r="A118" s="7" t="s">
        <v>32</v>
      </c>
      <c r="B118" s="8">
        <v>18.5</v>
      </c>
      <c r="C118" s="7">
        <v>92</v>
      </c>
      <c r="D118" s="7">
        <v>76</v>
      </c>
      <c r="E118" s="8">
        <v>16</v>
      </c>
      <c r="F118" s="12">
        <v>2.0408912037037038E-2</v>
      </c>
      <c r="G118" s="7">
        <v>15</v>
      </c>
    </row>
    <row r="119" spans="1:7" x14ac:dyDescent="0.2">
      <c r="A119" s="10" t="s">
        <v>17</v>
      </c>
      <c r="B119" s="11">
        <v>24</v>
      </c>
      <c r="C119" s="10">
        <v>75</v>
      </c>
      <c r="D119" s="10">
        <v>63.46</v>
      </c>
      <c r="E119" s="11">
        <v>11.54</v>
      </c>
      <c r="F119" s="13">
        <v>2.2123379629629628E-2</v>
      </c>
      <c r="G119" s="10">
        <v>28</v>
      </c>
    </row>
    <row r="120" spans="1:7" x14ac:dyDescent="0.2">
      <c r="A120" s="7" t="s">
        <v>41</v>
      </c>
      <c r="B120" s="8">
        <v>20.399999999999999</v>
      </c>
      <c r="C120" s="7">
        <v>74.36</v>
      </c>
      <c r="D120" s="7">
        <v>53.85</v>
      </c>
      <c r="E120" s="8">
        <v>20.51</v>
      </c>
      <c r="F120" s="12">
        <v>1.9278587962962963E-2</v>
      </c>
      <c r="G120" s="7">
        <v>30</v>
      </c>
    </row>
    <row r="121" spans="1:7" x14ac:dyDescent="0.2">
      <c r="A121" s="10" t="s">
        <v>20</v>
      </c>
      <c r="B121" s="11">
        <v>39.5</v>
      </c>
      <c r="C121" s="10">
        <v>83.05</v>
      </c>
      <c r="D121" s="10">
        <v>69.489999999999995</v>
      </c>
      <c r="E121" s="11">
        <v>13.56</v>
      </c>
      <c r="F121" s="13">
        <v>1.9879861111111109E-2</v>
      </c>
      <c r="G121" s="10">
        <v>13</v>
      </c>
    </row>
    <row r="122" spans="1:7" x14ac:dyDescent="0.2">
      <c r="A122" s="7" t="s">
        <v>80</v>
      </c>
      <c r="B122" s="8">
        <v>28.2</v>
      </c>
      <c r="C122" s="7">
        <v>80.77</v>
      </c>
      <c r="D122" s="7">
        <v>65.38</v>
      </c>
      <c r="E122" s="8">
        <v>15.38</v>
      </c>
      <c r="F122" s="12">
        <v>2.2484837962962963E-2</v>
      </c>
      <c r="G122" s="7">
        <v>24</v>
      </c>
    </row>
    <row r="123" spans="1:7" x14ac:dyDescent="0.2">
      <c r="A123" s="10" t="s">
        <v>29</v>
      </c>
      <c r="B123" s="11">
        <v>29.3</v>
      </c>
      <c r="C123" s="10">
        <v>76.47</v>
      </c>
      <c r="D123" s="10">
        <v>60.78</v>
      </c>
      <c r="E123" s="11">
        <v>15.69</v>
      </c>
      <c r="F123" s="13">
        <v>2.0270023148148148E-2</v>
      </c>
      <c r="G123" s="10">
        <v>31</v>
      </c>
    </row>
    <row r="124" spans="1:7" x14ac:dyDescent="0.2">
      <c r="A124" s="7" t="s">
        <v>25</v>
      </c>
      <c r="B124" s="8">
        <v>29.6</v>
      </c>
      <c r="C124" s="7">
        <v>82.35</v>
      </c>
      <c r="D124" s="7">
        <v>66.67</v>
      </c>
      <c r="E124" s="8">
        <v>15.69</v>
      </c>
      <c r="F124" s="12">
        <v>2.240081018518519E-2</v>
      </c>
      <c r="G124" s="7">
        <v>12</v>
      </c>
    </row>
    <row r="125" spans="1:7" x14ac:dyDescent="0.2">
      <c r="A125" s="10" t="s">
        <v>106</v>
      </c>
      <c r="B125" s="11">
        <v>26.8</v>
      </c>
      <c r="C125" s="10">
        <v>86.49</v>
      </c>
      <c r="D125" s="10">
        <v>72.97</v>
      </c>
      <c r="E125" s="11">
        <v>13.51</v>
      </c>
      <c r="F125" s="13">
        <v>1.9880439814814816E-2</v>
      </c>
      <c r="G125" s="10">
        <v>13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4"/>
  <dimension ref="A1:Q121"/>
  <sheetViews>
    <sheetView workbookViewId="0">
      <selection activeCell="Q26" sqref="I2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7.33203125" bestFit="1" customWidth="1"/>
    <col min="11" max="11" width="4.5" bestFit="1" customWidth="1"/>
    <col min="12" max="12" width="7.83203125" bestFit="1" customWidth="1"/>
    <col min="13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34.9</v>
      </c>
      <c r="C2" s="7">
        <v>86.89</v>
      </c>
      <c r="D2" s="7">
        <v>65.569999999999993</v>
      </c>
      <c r="E2" s="8">
        <v>21.31</v>
      </c>
      <c r="F2" s="12">
        <v>2.0527083333333335E-2</v>
      </c>
      <c r="G2" s="7">
        <v>26</v>
      </c>
      <c r="I2">
        <v>1</v>
      </c>
      <c r="J2" t="s">
        <v>11</v>
      </c>
      <c r="K2">
        <f>VLOOKUP($J2,Offense2011[],2)</f>
        <v>34.799999999999997</v>
      </c>
      <c r="L2">
        <f>VLOOKUP($J2,Offense2011[],3)</f>
        <v>87.93</v>
      </c>
      <c r="M2">
        <f>VLOOKUP($J2,Offense2011[],4)</f>
        <v>55.17</v>
      </c>
      <c r="N2">
        <f>VLOOKUP($J2,Offense2011[],5)</f>
        <v>32.76</v>
      </c>
      <c r="O2" s="1">
        <f>VLOOKUP($J2,Offense2011[],6)</f>
        <v>2.2776041666666667E-2</v>
      </c>
      <c r="P2">
        <f>VLOOKUP($J2,Offense2011[],7)</f>
        <v>12</v>
      </c>
      <c r="Q2">
        <v>2011</v>
      </c>
    </row>
    <row r="3" spans="1:17" x14ac:dyDescent="0.2">
      <c r="A3" s="10" t="s">
        <v>103</v>
      </c>
      <c r="B3" s="11">
        <v>14.2</v>
      </c>
      <c r="C3" s="10">
        <v>76.92</v>
      </c>
      <c r="D3" s="10">
        <v>50</v>
      </c>
      <c r="E3" s="11">
        <v>26.92</v>
      </c>
      <c r="F3" s="13">
        <v>1.9945023148148149E-2</v>
      </c>
      <c r="G3" s="10">
        <v>24</v>
      </c>
      <c r="I3">
        <v>2</v>
      </c>
      <c r="J3" t="s">
        <v>70</v>
      </c>
      <c r="K3">
        <f>VLOOKUP($J3,Offense2011[],2)</f>
        <v>35.700000000000003</v>
      </c>
      <c r="L3">
        <f>VLOOKUP($J3,Offense2011[],3)</f>
        <v>93.44</v>
      </c>
      <c r="M3">
        <f>VLOOKUP($J3,Offense2011[],4)</f>
        <v>72.13</v>
      </c>
      <c r="N3">
        <f>VLOOKUP($J3,Offense2011[],5)</f>
        <v>21.31</v>
      </c>
      <c r="O3" s="1">
        <f>VLOOKUP($J3,Offense2011[],6)</f>
        <v>2.1865856481481483E-2</v>
      </c>
      <c r="P3">
        <f>VLOOKUP($J3,Offense2011[],7)</f>
        <v>10</v>
      </c>
      <c r="Q3">
        <v>2011</v>
      </c>
    </row>
    <row r="4" spans="1:17" x14ac:dyDescent="0.2">
      <c r="A4" s="7" t="s">
        <v>11</v>
      </c>
      <c r="B4" s="8">
        <v>34.799999999999997</v>
      </c>
      <c r="C4" s="7">
        <v>87.93</v>
      </c>
      <c r="D4" s="7">
        <v>55.17</v>
      </c>
      <c r="E4" s="8">
        <v>32.76</v>
      </c>
      <c r="F4" s="12">
        <v>2.2776041666666667E-2</v>
      </c>
      <c r="G4" s="7">
        <v>12</v>
      </c>
      <c r="I4">
        <v>3</v>
      </c>
      <c r="J4" t="s">
        <v>2</v>
      </c>
      <c r="K4">
        <f>VLOOKUP($J4,Offense2011[],2)</f>
        <v>48.7</v>
      </c>
      <c r="L4">
        <f>VLOOKUP($J4,Offense2011[],3)</f>
        <v>89.02</v>
      </c>
      <c r="M4">
        <f>VLOOKUP($J4,Offense2011[],4)</f>
        <v>64.63</v>
      </c>
      <c r="N4">
        <f>VLOOKUP($J4,Offense2011[],5)</f>
        <v>24.39</v>
      </c>
      <c r="O4" s="1">
        <f>VLOOKUP($J4,Offense2011[],6)</f>
        <v>1.8260300925925926E-2</v>
      </c>
      <c r="P4">
        <f>VLOOKUP($J4,Offense2011[],7)</f>
        <v>23</v>
      </c>
      <c r="Q4">
        <v>2011</v>
      </c>
    </row>
    <row r="5" spans="1:17" x14ac:dyDescent="0.2">
      <c r="A5" s="10" t="s">
        <v>5</v>
      </c>
      <c r="B5" s="11">
        <v>30.8</v>
      </c>
      <c r="C5" s="10">
        <v>80.849999999999994</v>
      </c>
      <c r="D5" s="10">
        <v>68.09</v>
      </c>
      <c r="E5" s="11">
        <v>12.77</v>
      </c>
      <c r="F5" s="13">
        <v>2.0608564814814812E-2</v>
      </c>
      <c r="G5" s="10">
        <v>21</v>
      </c>
      <c r="I5">
        <v>4</v>
      </c>
      <c r="J5" t="s">
        <v>18</v>
      </c>
      <c r="K5">
        <f>VLOOKUP($J5,Offense2011[],2)</f>
        <v>46.1</v>
      </c>
      <c r="L5">
        <f>VLOOKUP($J5,Offense2011[],3)</f>
        <v>86.57</v>
      </c>
      <c r="M5">
        <f>VLOOKUP($J5,Offense2011[],4)</f>
        <v>76.12</v>
      </c>
      <c r="N5">
        <f>VLOOKUP($J5,Offense2011[],5)</f>
        <v>10.45</v>
      </c>
      <c r="O5" s="1">
        <f>VLOOKUP($J5,Offense2011[],6)</f>
        <v>1.7359490740740741E-2</v>
      </c>
      <c r="P5">
        <f>VLOOKUP($J5,Offense2011[],7)</f>
        <v>20</v>
      </c>
      <c r="Q5">
        <v>2011</v>
      </c>
    </row>
    <row r="6" spans="1:17" x14ac:dyDescent="0.2">
      <c r="A6" s="7" t="s">
        <v>38</v>
      </c>
      <c r="B6" s="8">
        <v>33.200000000000003</v>
      </c>
      <c r="C6" s="7">
        <v>79.31</v>
      </c>
      <c r="D6" s="7">
        <v>58.62</v>
      </c>
      <c r="E6" s="8">
        <v>20.69</v>
      </c>
      <c r="F6" s="12">
        <v>2.0868055555555556E-2</v>
      </c>
      <c r="G6" s="7">
        <v>23</v>
      </c>
      <c r="I6">
        <v>5</v>
      </c>
      <c r="J6" t="s">
        <v>63</v>
      </c>
      <c r="K6">
        <f>VLOOKUP($J6,Offense2011[],2)</f>
        <v>36.799999999999997</v>
      </c>
      <c r="L6">
        <f>VLOOKUP($J6,Offense2011[],3)</f>
        <v>86.44</v>
      </c>
      <c r="M6">
        <f>VLOOKUP($J6,Offense2011[],4)</f>
        <v>59.32</v>
      </c>
      <c r="N6">
        <f>VLOOKUP($J6,Offense2011[],5)</f>
        <v>27.12</v>
      </c>
      <c r="O6" s="1">
        <f>VLOOKUP($J6,Offense2011[],6)</f>
        <v>1.9503240740740741E-2</v>
      </c>
      <c r="P6">
        <f>VLOOKUP($J6,Offense2011[],7)</f>
        <v>20</v>
      </c>
      <c r="Q6">
        <v>2011</v>
      </c>
    </row>
    <row r="7" spans="1:17" x14ac:dyDescent="0.2">
      <c r="A7" s="10" t="s">
        <v>63</v>
      </c>
      <c r="B7" s="11">
        <v>36.799999999999997</v>
      </c>
      <c r="C7" s="10">
        <v>86.44</v>
      </c>
      <c r="D7" s="10">
        <v>59.32</v>
      </c>
      <c r="E7" s="11">
        <v>27.12</v>
      </c>
      <c r="F7" s="13">
        <v>1.9503240740740741E-2</v>
      </c>
      <c r="G7" s="10">
        <v>20</v>
      </c>
      <c r="I7">
        <v>6</v>
      </c>
      <c r="J7" t="s">
        <v>26</v>
      </c>
      <c r="K7">
        <f>VLOOKUP($J7,Offense2011[],2)</f>
        <v>35.799999999999997</v>
      </c>
      <c r="L7">
        <f>VLOOKUP($J7,Offense2011[],3)</f>
        <v>80.39</v>
      </c>
      <c r="M7">
        <f>VLOOKUP($J7,Offense2011[],4)</f>
        <v>60.78</v>
      </c>
      <c r="N7">
        <f>VLOOKUP($J7,Offense2011[],5)</f>
        <v>19.61</v>
      </c>
      <c r="O7" s="1">
        <f>VLOOKUP($J7,Offense2011[],6)</f>
        <v>2.2368865740740738E-2</v>
      </c>
      <c r="P7">
        <f>VLOOKUP($J7,Offense2011[],7)</f>
        <v>18</v>
      </c>
      <c r="Q7">
        <v>2011</v>
      </c>
    </row>
    <row r="8" spans="1:17" x14ac:dyDescent="0.2">
      <c r="A8" s="7" t="s">
        <v>8</v>
      </c>
      <c r="B8" s="8">
        <v>32.5</v>
      </c>
      <c r="C8" s="7">
        <v>81.819999999999993</v>
      </c>
      <c r="D8" s="7">
        <v>56.06</v>
      </c>
      <c r="E8" s="8">
        <v>25.76</v>
      </c>
      <c r="F8" s="12">
        <v>2.0886805555555558E-2</v>
      </c>
      <c r="G8" s="7">
        <v>27</v>
      </c>
      <c r="I8">
        <v>7</v>
      </c>
      <c r="J8" t="s">
        <v>37</v>
      </c>
      <c r="K8">
        <f>VLOOKUP($J8,Offense2011[],2)</f>
        <v>43.2</v>
      </c>
      <c r="L8">
        <f>VLOOKUP($J8,Offense2011[],3)</f>
        <v>97.1</v>
      </c>
      <c r="M8">
        <f>VLOOKUP($J8,Offense2011[],4)</f>
        <v>76.81</v>
      </c>
      <c r="N8">
        <f>VLOOKUP($J8,Offense2011[],5)</f>
        <v>20.29</v>
      </c>
      <c r="O8" s="1">
        <f>VLOOKUP($J8,Offense2011[],6)</f>
        <v>2.3459722222222219E-2</v>
      </c>
      <c r="P8">
        <f>VLOOKUP($J8,Offense2011[],7)</f>
        <v>17</v>
      </c>
      <c r="Q8">
        <v>2011</v>
      </c>
    </row>
    <row r="9" spans="1:17" x14ac:dyDescent="0.2">
      <c r="A9" s="10" t="s">
        <v>42</v>
      </c>
      <c r="B9" s="11">
        <v>24.8</v>
      </c>
      <c r="C9" s="10">
        <v>77.78</v>
      </c>
      <c r="D9" s="10">
        <v>71.11</v>
      </c>
      <c r="E9" s="11">
        <v>6.67</v>
      </c>
      <c r="F9" s="13">
        <v>2.3242708333333331E-2</v>
      </c>
      <c r="G9" s="10">
        <v>26</v>
      </c>
      <c r="I9">
        <v>8</v>
      </c>
      <c r="J9" t="s">
        <v>33</v>
      </c>
      <c r="K9">
        <f>VLOOKUP($J9,Offense2011[],2)</f>
        <v>44.2</v>
      </c>
      <c r="L9">
        <f>VLOOKUP($J9,Offense2011[],3)</f>
        <v>82.86</v>
      </c>
      <c r="M9">
        <f>VLOOKUP($J9,Offense2011[],4)</f>
        <v>74.290000000000006</v>
      </c>
      <c r="N9">
        <f>VLOOKUP($J9,Offense2011[],5)</f>
        <v>8.57</v>
      </c>
      <c r="O9" s="1">
        <f>VLOOKUP($J9,Offense2011[],6)</f>
        <v>2.2540972222222223E-2</v>
      </c>
      <c r="P9">
        <f>VLOOKUP($J9,Offense2011[],7)</f>
        <v>18</v>
      </c>
      <c r="Q9">
        <v>2011</v>
      </c>
    </row>
    <row r="10" spans="1:17" x14ac:dyDescent="0.2">
      <c r="A10" s="7" t="s">
        <v>19</v>
      </c>
      <c r="B10" s="8">
        <v>25.7</v>
      </c>
      <c r="C10" s="7">
        <v>83.78</v>
      </c>
      <c r="D10" s="7">
        <v>59.46</v>
      </c>
      <c r="E10" s="8">
        <v>24.32</v>
      </c>
      <c r="F10" s="12">
        <v>1.9423032407407406E-2</v>
      </c>
      <c r="G10" s="7">
        <v>21</v>
      </c>
      <c r="I10">
        <v>9</v>
      </c>
      <c r="J10" t="s">
        <v>98</v>
      </c>
      <c r="K10">
        <f>VLOOKUP($J10,Offense2011[],2)</f>
        <v>30.1</v>
      </c>
      <c r="L10">
        <f>VLOOKUP($J10,Offense2011[],3)</f>
        <v>80.95</v>
      </c>
      <c r="M10">
        <f>VLOOKUP($J10,Offense2011[],4)</f>
        <v>76.19</v>
      </c>
      <c r="N10">
        <f>VLOOKUP($J10,Offense2011[],5)</f>
        <v>4.76</v>
      </c>
      <c r="O10" s="1">
        <f>VLOOKUP($J10,Offense2011[],6)</f>
        <v>2.1928472222222221E-2</v>
      </c>
      <c r="P10">
        <f>VLOOKUP($J10,Offense2011[],7)</f>
        <v>27</v>
      </c>
      <c r="Q10">
        <v>2011</v>
      </c>
    </row>
    <row r="11" spans="1:17" x14ac:dyDescent="0.2">
      <c r="A11" s="10" t="s">
        <v>120</v>
      </c>
      <c r="B11" s="11">
        <v>25.3</v>
      </c>
      <c r="C11" s="10">
        <v>89.8</v>
      </c>
      <c r="D11" s="10">
        <v>61.22</v>
      </c>
      <c r="E11" s="11">
        <v>28.57</v>
      </c>
      <c r="F11" s="13">
        <v>2.0310532407407406E-2</v>
      </c>
      <c r="G11" s="10">
        <v>18</v>
      </c>
      <c r="I11">
        <v>10</v>
      </c>
      <c r="J11" t="s">
        <v>25</v>
      </c>
      <c r="K11">
        <f>VLOOKUP($J11,Offense2011[],2)</f>
        <v>44.1</v>
      </c>
      <c r="L11">
        <f>VLOOKUP($J11,Offense2011[],3)</f>
        <v>94.67</v>
      </c>
      <c r="M11">
        <f>VLOOKUP($J11,Offense2011[],4)</f>
        <v>85.33</v>
      </c>
      <c r="N11">
        <f>VLOOKUP($J11,Offense2011[],5)</f>
        <v>9.33</v>
      </c>
      <c r="O11" s="1">
        <f>VLOOKUP($J11,Offense2011[],6)</f>
        <v>2.2380092592592594E-2</v>
      </c>
      <c r="P11">
        <f>VLOOKUP($J11,Offense2011[],7)</f>
        <v>10</v>
      </c>
      <c r="Q11">
        <v>2011</v>
      </c>
    </row>
    <row r="12" spans="1:17" x14ac:dyDescent="0.2">
      <c r="A12" s="7" t="s">
        <v>94</v>
      </c>
      <c r="B12" s="8">
        <v>45.3</v>
      </c>
      <c r="C12" s="7">
        <v>77.78</v>
      </c>
      <c r="D12" s="7">
        <v>65.08</v>
      </c>
      <c r="E12" s="8">
        <v>12.7</v>
      </c>
      <c r="F12" s="12">
        <v>1.9202314814814814E-2</v>
      </c>
      <c r="G12" s="7">
        <v>24</v>
      </c>
      <c r="I12">
        <v>11</v>
      </c>
      <c r="J12" t="s">
        <v>104</v>
      </c>
      <c r="K12">
        <f>VLOOKUP($J12,Offense2011[],2)</f>
        <v>31</v>
      </c>
      <c r="L12">
        <f>VLOOKUP($J12,Offense2011[],3)</f>
        <v>83.93</v>
      </c>
      <c r="M12">
        <f>VLOOKUP($J12,Offense2011[],4)</f>
        <v>60.71</v>
      </c>
      <c r="N12">
        <f>VLOOKUP($J12,Offense2011[],5)</f>
        <v>23.21</v>
      </c>
      <c r="O12" s="1">
        <f>VLOOKUP($J12,Offense2011[],6)</f>
        <v>2.1698032407407405E-2</v>
      </c>
      <c r="P12">
        <f>VLOOKUP($J12,Offense2011[],7)</f>
        <v>18</v>
      </c>
      <c r="Q12">
        <v>2011</v>
      </c>
    </row>
    <row r="13" spans="1:17" x14ac:dyDescent="0.2">
      <c r="A13" s="10" t="s">
        <v>33</v>
      </c>
      <c r="B13" s="11">
        <v>44.2</v>
      </c>
      <c r="C13" s="10">
        <v>82.86</v>
      </c>
      <c r="D13" s="10">
        <v>74.290000000000006</v>
      </c>
      <c r="E13" s="11">
        <v>8.57</v>
      </c>
      <c r="F13" s="13">
        <v>2.2540972222222223E-2</v>
      </c>
      <c r="G13" s="10">
        <v>18</v>
      </c>
      <c r="I13">
        <v>12</v>
      </c>
      <c r="J13" t="s">
        <v>84</v>
      </c>
      <c r="K13">
        <f>VLOOKUP($J13,Offense2011[],2)</f>
        <v>33.299999999999997</v>
      </c>
      <c r="L13">
        <f>VLOOKUP($J13,Offense2011[],3)</f>
        <v>84.48</v>
      </c>
      <c r="M13">
        <f>VLOOKUP($J13,Offense2011[],4)</f>
        <v>63.79</v>
      </c>
      <c r="N13">
        <f>VLOOKUP($J13,Offense2011[],5)</f>
        <v>20.69</v>
      </c>
      <c r="O13" s="1">
        <f>VLOOKUP($J13,Offense2011[],6)</f>
        <v>2.1703125E-2</v>
      </c>
      <c r="P13">
        <f>VLOOKUP($J13,Offense2011[],7)</f>
        <v>22</v>
      </c>
      <c r="Q13">
        <v>2011</v>
      </c>
    </row>
    <row r="14" spans="1:17" x14ac:dyDescent="0.2">
      <c r="A14" s="7" t="s">
        <v>79</v>
      </c>
      <c r="B14" s="8">
        <v>18.2</v>
      </c>
      <c r="C14" s="7">
        <v>71.88</v>
      </c>
      <c r="D14" s="7">
        <v>56.25</v>
      </c>
      <c r="E14" s="8">
        <v>15.63</v>
      </c>
      <c r="F14" s="12">
        <v>2.1208564814814816E-2</v>
      </c>
      <c r="G14" s="7">
        <v>20</v>
      </c>
      <c r="I14">
        <v>13</v>
      </c>
      <c r="J14" t="s">
        <v>94</v>
      </c>
      <c r="K14">
        <f>VLOOKUP($J14,Offense2011[],2)</f>
        <v>45.3</v>
      </c>
      <c r="L14">
        <f>VLOOKUP($J14,Offense2011[],3)</f>
        <v>77.78</v>
      </c>
      <c r="M14">
        <f>VLOOKUP($J14,Offense2011[],4)</f>
        <v>65.08</v>
      </c>
      <c r="N14">
        <f>VLOOKUP($J14,Offense2011[],5)</f>
        <v>12.7</v>
      </c>
      <c r="O14" s="1">
        <f>VLOOKUP($J14,Offense2011[],6)</f>
        <v>1.9202314814814814E-2</v>
      </c>
      <c r="P14">
        <f>VLOOKUP($J14,Offense2011[],7)</f>
        <v>24</v>
      </c>
      <c r="Q14">
        <v>2011</v>
      </c>
    </row>
    <row r="15" spans="1:17" x14ac:dyDescent="0.2">
      <c r="A15" s="10" t="s">
        <v>87</v>
      </c>
      <c r="B15" s="11">
        <v>26.5</v>
      </c>
      <c r="C15" s="10">
        <v>76.599999999999994</v>
      </c>
      <c r="D15" s="10">
        <v>59.57</v>
      </c>
      <c r="E15" s="11">
        <v>17.02</v>
      </c>
      <c r="F15" s="13">
        <v>2.051701388888889E-2</v>
      </c>
      <c r="G15" s="10">
        <v>28</v>
      </c>
      <c r="I15">
        <v>14</v>
      </c>
      <c r="J15" t="s">
        <v>27</v>
      </c>
      <c r="K15">
        <f>VLOOKUP($J15,Offense2011[],2)</f>
        <v>40.799999999999997</v>
      </c>
      <c r="L15">
        <f>VLOOKUP($J15,Offense2011[],3)</f>
        <v>87.69</v>
      </c>
      <c r="M15">
        <f>VLOOKUP($J15,Offense2011[],4)</f>
        <v>72.31</v>
      </c>
      <c r="N15">
        <f>VLOOKUP($J15,Offense2011[],5)</f>
        <v>15.38</v>
      </c>
      <c r="O15" s="1">
        <f>VLOOKUP($J15,Offense2011[],6)</f>
        <v>2.1063078703703705E-2</v>
      </c>
      <c r="P15">
        <f>VLOOKUP($J15,Offense2011[],7)</f>
        <v>21</v>
      </c>
      <c r="Q15">
        <v>2011</v>
      </c>
    </row>
    <row r="16" spans="1:17" x14ac:dyDescent="0.2">
      <c r="A16" s="7" t="s">
        <v>66</v>
      </c>
      <c r="B16" s="8">
        <v>22.2</v>
      </c>
      <c r="C16" s="7">
        <v>80.56</v>
      </c>
      <c r="D16" s="7">
        <v>61.11</v>
      </c>
      <c r="E16" s="8">
        <v>19.440000000000001</v>
      </c>
      <c r="F16" s="12">
        <v>2.0125347222222222E-2</v>
      </c>
      <c r="G16" s="7">
        <v>15</v>
      </c>
      <c r="I16">
        <v>15</v>
      </c>
      <c r="J16" t="s">
        <v>36</v>
      </c>
      <c r="K16">
        <f>VLOOKUP($J16,Offense2011[],2)</f>
        <v>31.8</v>
      </c>
      <c r="L16">
        <f>VLOOKUP($J16,Offense2011[],3)</f>
        <v>88.33</v>
      </c>
      <c r="M16">
        <f>VLOOKUP($J16,Offense2011[],4)</f>
        <v>68.33</v>
      </c>
      <c r="N16">
        <f>VLOOKUP($J16,Offense2011[],5)</f>
        <v>20</v>
      </c>
      <c r="O16" s="1">
        <f>VLOOKUP($J16,Offense2011[],6)</f>
        <v>2.3558564814814817E-2</v>
      </c>
      <c r="P16">
        <f>VLOOKUP($J16,Offense2011[],7)</f>
        <v>15</v>
      </c>
      <c r="Q16">
        <v>2011</v>
      </c>
    </row>
    <row r="17" spans="1:17" x14ac:dyDescent="0.2">
      <c r="A17" s="10" t="s">
        <v>122</v>
      </c>
      <c r="B17" s="11">
        <v>30.1</v>
      </c>
      <c r="C17" s="10">
        <v>79.63</v>
      </c>
      <c r="D17" s="10">
        <v>61.11</v>
      </c>
      <c r="E17" s="11">
        <v>18.52</v>
      </c>
      <c r="F17" s="13">
        <v>2.2007638888888889E-2</v>
      </c>
      <c r="G17" s="10">
        <v>27</v>
      </c>
      <c r="I17">
        <v>16</v>
      </c>
      <c r="J17" t="s">
        <v>3</v>
      </c>
      <c r="K17">
        <f>VLOOKUP($J17,Offense2011[],2)</f>
        <v>39.5</v>
      </c>
      <c r="L17">
        <f>VLOOKUP($J17,Offense2011[],3)</f>
        <v>87.88</v>
      </c>
      <c r="M17">
        <f>VLOOKUP($J17,Offense2011[],4)</f>
        <v>59.09</v>
      </c>
      <c r="N17">
        <f>VLOOKUP($J17,Offense2011[],5)</f>
        <v>28.79</v>
      </c>
      <c r="O17" s="1">
        <f>VLOOKUP($J17,Offense2011[],6)</f>
        <v>2.0816435185185184E-2</v>
      </c>
      <c r="P17">
        <f>VLOOKUP($J17,Offense2011[],7)</f>
        <v>29</v>
      </c>
      <c r="Q17">
        <v>2011</v>
      </c>
    </row>
    <row r="18" spans="1:17" x14ac:dyDescent="0.2">
      <c r="A18" s="7" t="s">
        <v>72</v>
      </c>
      <c r="B18" s="8">
        <v>28.3</v>
      </c>
      <c r="C18" s="7">
        <v>89.09</v>
      </c>
      <c r="D18" s="7">
        <v>61.82</v>
      </c>
      <c r="E18" s="8">
        <v>27.27</v>
      </c>
      <c r="F18" s="12">
        <v>2.2187499999999999E-2</v>
      </c>
      <c r="G18" s="7">
        <v>24</v>
      </c>
      <c r="I18">
        <v>17</v>
      </c>
      <c r="J18" t="s">
        <v>20</v>
      </c>
      <c r="K18">
        <f>VLOOKUP($J18,Offense2011[],2)</f>
        <v>37.6</v>
      </c>
      <c r="L18">
        <f>VLOOKUP($J18,Offense2011[],3)</f>
        <v>88.52</v>
      </c>
      <c r="M18">
        <f>VLOOKUP($J18,Offense2011[],4)</f>
        <v>67.209999999999994</v>
      </c>
      <c r="N18">
        <f>VLOOKUP($J18,Offense2011[],5)</f>
        <v>21.31</v>
      </c>
      <c r="O18" s="1">
        <f>VLOOKUP($J18,Offense2011[],6)</f>
        <v>1.9675925925925927E-2</v>
      </c>
      <c r="P18">
        <f>VLOOKUP($J18,Offense2011[],7)</f>
        <v>22</v>
      </c>
      <c r="Q18">
        <v>2011</v>
      </c>
    </row>
    <row r="19" spans="1:17" x14ac:dyDescent="0.2">
      <c r="A19" s="10" t="s">
        <v>54</v>
      </c>
      <c r="B19" s="11">
        <v>22.6</v>
      </c>
      <c r="C19" s="10">
        <v>83.87</v>
      </c>
      <c r="D19" s="10">
        <v>51.61</v>
      </c>
      <c r="E19" s="11">
        <v>32.26</v>
      </c>
      <c r="F19" s="13">
        <v>2.0205439814814815E-2</v>
      </c>
      <c r="G19" s="10">
        <v>23</v>
      </c>
      <c r="I19">
        <v>18</v>
      </c>
      <c r="J19" t="s">
        <v>67</v>
      </c>
      <c r="K19">
        <f>VLOOKUP($J19,Offense2011[],2)</f>
        <v>49.3</v>
      </c>
      <c r="L19">
        <f>VLOOKUP($J19,Offense2011[],3)</f>
        <v>84.21</v>
      </c>
      <c r="M19">
        <f>VLOOKUP($J19,Offense2011[],4)</f>
        <v>67.11</v>
      </c>
      <c r="N19">
        <f>VLOOKUP($J19,Offense2011[],5)</f>
        <v>17.11</v>
      </c>
      <c r="O19" s="1">
        <f>VLOOKUP($J19,Offense2011[],6)</f>
        <v>1.8437499999999999E-2</v>
      </c>
      <c r="P19">
        <f>VLOOKUP($J19,Offense2011[],7)</f>
        <v>15</v>
      </c>
      <c r="Q19">
        <v>2011</v>
      </c>
    </row>
    <row r="20" spans="1:17" x14ac:dyDescent="0.2">
      <c r="A20" s="7" t="s">
        <v>110</v>
      </c>
      <c r="B20" s="8">
        <v>33.299999999999997</v>
      </c>
      <c r="C20" s="7">
        <v>78.849999999999994</v>
      </c>
      <c r="D20" s="7">
        <v>61.54</v>
      </c>
      <c r="E20" s="8">
        <v>17.309999999999999</v>
      </c>
      <c r="F20" s="12">
        <v>1.9431944444444443E-2</v>
      </c>
      <c r="G20" s="7">
        <v>21</v>
      </c>
      <c r="I20">
        <v>19</v>
      </c>
      <c r="J20" t="s">
        <v>22</v>
      </c>
      <c r="K20">
        <f>VLOOKUP($J20,Offense2011[],2)</f>
        <v>32</v>
      </c>
      <c r="L20">
        <f>VLOOKUP($J20,Offense2011[],3)</f>
        <v>81.819999999999993</v>
      </c>
      <c r="M20">
        <f>VLOOKUP($J20,Offense2011[],4)</f>
        <v>61.82</v>
      </c>
      <c r="N20">
        <f>VLOOKUP($J20,Offense2011[],5)</f>
        <v>20</v>
      </c>
      <c r="O20" s="1">
        <f>VLOOKUP($J20,Offense2011[],6)</f>
        <v>2.3365625000000001E-2</v>
      </c>
      <c r="P20">
        <f>VLOOKUP($J20,Offense2011[],7)</f>
        <v>25</v>
      </c>
      <c r="Q20">
        <v>2011</v>
      </c>
    </row>
    <row r="21" spans="1:17" x14ac:dyDescent="0.2">
      <c r="A21" s="10" t="s">
        <v>24</v>
      </c>
      <c r="B21" s="11">
        <v>33.6</v>
      </c>
      <c r="C21" s="10">
        <v>80.36</v>
      </c>
      <c r="D21" s="10">
        <v>57.14</v>
      </c>
      <c r="E21" s="11">
        <v>23.21</v>
      </c>
      <c r="F21" s="13">
        <v>1.9502314814814816E-2</v>
      </c>
      <c r="G21" s="10">
        <v>24</v>
      </c>
      <c r="I21">
        <v>20</v>
      </c>
      <c r="J21" t="s">
        <v>144</v>
      </c>
      <c r="K21">
        <f>VLOOKUP($J21,Offense2011[],2)</f>
        <v>29.3</v>
      </c>
      <c r="L21">
        <f>VLOOKUP($J21,Offense2011[],3)</f>
        <v>85.42</v>
      </c>
      <c r="M21">
        <f>VLOOKUP($J21,Offense2011[],4)</f>
        <v>56.25</v>
      </c>
      <c r="N21">
        <f>VLOOKUP($J21,Offense2011[],5)</f>
        <v>29.17</v>
      </c>
      <c r="O21" s="1">
        <f>VLOOKUP($J21,Offense2011[],6)</f>
        <v>1.9231250000000002E-2</v>
      </c>
      <c r="P21">
        <f>VLOOKUP($J21,Offense2011[],7)</f>
        <v>24</v>
      </c>
      <c r="Q21">
        <v>2011</v>
      </c>
    </row>
    <row r="22" spans="1:17" x14ac:dyDescent="0.2">
      <c r="A22" s="7" t="s">
        <v>77</v>
      </c>
      <c r="B22" s="8">
        <v>19.8</v>
      </c>
      <c r="C22" s="7">
        <v>76.319999999999993</v>
      </c>
      <c r="D22" s="7">
        <v>60.53</v>
      </c>
      <c r="E22" s="8">
        <v>15.79</v>
      </c>
      <c r="F22" s="12">
        <v>2.1590972222222223E-2</v>
      </c>
      <c r="G22" s="7">
        <v>19</v>
      </c>
      <c r="I22">
        <v>21</v>
      </c>
      <c r="J22" t="s">
        <v>64</v>
      </c>
      <c r="K22">
        <f>VLOOKUP($J22,Offense2011[],2)</f>
        <v>27.9</v>
      </c>
      <c r="L22">
        <f>VLOOKUP($J22,Offense2011[],3)</f>
        <v>74.290000000000006</v>
      </c>
      <c r="M22">
        <f>VLOOKUP($J22,Offense2011[],4)</f>
        <v>50</v>
      </c>
      <c r="N22">
        <f>VLOOKUP($J22,Offense2011[],5)</f>
        <v>24.29</v>
      </c>
      <c r="O22" s="1">
        <f>VLOOKUP($J22,Offense2011[],6)</f>
        <v>2.3688773148148153E-2</v>
      </c>
      <c r="P22">
        <f>VLOOKUP($J22,Offense2011[],7)</f>
        <v>18</v>
      </c>
      <c r="Q22">
        <v>2011</v>
      </c>
    </row>
    <row r="23" spans="1:17" x14ac:dyDescent="0.2">
      <c r="A23" s="10" t="s">
        <v>30</v>
      </c>
      <c r="B23" s="11">
        <v>21.4</v>
      </c>
      <c r="C23" s="10">
        <v>67.5</v>
      </c>
      <c r="D23" s="10">
        <v>47.5</v>
      </c>
      <c r="E23" s="11">
        <v>20</v>
      </c>
      <c r="F23" s="13">
        <v>2.1121759259259257E-2</v>
      </c>
      <c r="G23" s="10">
        <v>26</v>
      </c>
      <c r="I23">
        <v>22</v>
      </c>
      <c r="J23" t="s">
        <v>24</v>
      </c>
      <c r="K23">
        <f>VLOOKUP($J23,Offense2011[],2)</f>
        <v>33.6</v>
      </c>
      <c r="L23">
        <f>VLOOKUP($J23,Offense2011[],3)</f>
        <v>80.36</v>
      </c>
      <c r="M23">
        <f>VLOOKUP($J23,Offense2011[],4)</f>
        <v>57.14</v>
      </c>
      <c r="N23">
        <f>VLOOKUP($J23,Offense2011[],5)</f>
        <v>23.21</v>
      </c>
      <c r="O23" s="1">
        <f>VLOOKUP($J23,Offense2011[],6)</f>
        <v>1.9502314814814816E-2</v>
      </c>
      <c r="P23">
        <f>VLOOKUP($J23,Offense2011[],7)</f>
        <v>24</v>
      </c>
      <c r="Q23">
        <v>2011</v>
      </c>
    </row>
    <row r="24" spans="1:17" x14ac:dyDescent="0.2">
      <c r="A24" s="7" t="s">
        <v>101</v>
      </c>
      <c r="B24" s="8">
        <v>24.3</v>
      </c>
      <c r="C24" s="7">
        <v>88.89</v>
      </c>
      <c r="D24" s="7">
        <v>52.78</v>
      </c>
      <c r="E24" s="8">
        <v>36.11</v>
      </c>
      <c r="F24" s="12">
        <v>2.1355092592592592E-2</v>
      </c>
      <c r="G24" s="7">
        <v>23</v>
      </c>
      <c r="I24">
        <v>23</v>
      </c>
      <c r="J24" t="s">
        <v>88</v>
      </c>
      <c r="K24">
        <f>VLOOKUP($J24,Offense2011[],2)</f>
        <v>30.6</v>
      </c>
      <c r="L24">
        <f>VLOOKUP($J24,Offense2011[],3)</f>
        <v>86.54</v>
      </c>
      <c r="M24">
        <f>VLOOKUP($J24,Offense2011[],4)</f>
        <v>57.69</v>
      </c>
      <c r="N24">
        <f>VLOOKUP($J24,Offense2011[],5)</f>
        <v>28.85</v>
      </c>
      <c r="O24" s="1">
        <f>VLOOKUP($J24,Offense2011[],6)</f>
        <v>2.0729166666666667E-2</v>
      </c>
      <c r="P24">
        <f>VLOOKUP($J24,Offense2011[],7)</f>
        <v>19</v>
      </c>
      <c r="Q24">
        <v>2011</v>
      </c>
    </row>
    <row r="25" spans="1:17" x14ac:dyDescent="0.2">
      <c r="A25" s="10" t="s">
        <v>85</v>
      </c>
      <c r="B25" s="11">
        <v>22.5</v>
      </c>
      <c r="C25" s="10">
        <v>72.34</v>
      </c>
      <c r="D25" s="10">
        <v>55.32</v>
      </c>
      <c r="E25" s="11">
        <v>17.02</v>
      </c>
      <c r="F25" s="13">
        <v>2.1488194444444445E-2</v>
      </c>
      <c r="G25" s="10">
        <v>21</v>
      </c>
      <c r="I25">
        <v>24</v>
      </c>
      <c r="J25" t="s">
        <v>83</v>
      </c>
      <c r="K25">
        <f>VLOOKUP($J25,Offense2011[],2)</f>
        <v>29.2</v>
      </c>
      <c r="L25">
        <f>VLOOKUP($J25,Offense2011[],3)</f>
        <v>86.54</v>
      </c>
      <c r="M25">
        <f>VLOOKUP($J25,Offense2011[],4)</f>
        <v>63.46</v>
      </c>
      <c r="N25">
        <f>VLOOKUP($J25,Offense2011[],5)</f>
        <v>23.08</v>
      </c>
      <c r="O25" s="1">
        <f>VLOOKUP($J25,Offense2011[],6)</f>
        <v>1.978726851851852E-2</v>
      </c>
      <c r="P25">
        <f>VLOOKUP($J25,Offense2011[],7)</f>
        <v>19</v>
      </c>
      <c r="Q25">
        <v>2011</v>
      </c>
    </row>
    <row r="26" spans="1:17" x14ac:dyDescent="0.2">
      <c r="A26" s="7" t="s">
        <v>89</v>
      </c>
      <c r="B26" s="8">
        <v>26.3</v>
      </c>
      <c r="C26" s="7">
        <v>87.23</v>
      </c>
      <c r="D26" s="7">
        <v>70.209999999999994</v>
      </c>
      <c r="E26" s="8">
        <v>17.02</v>
      </c>
      <c r="F26" s="12">
        <v>2.1079282407407408E-2</v>
      </c>
      <c r="G26" s="7">
        <v>35</v>
      </c>
      <c r="I26">
        <v>25</v>
      </c>
      <c r="J26" t="s">
        <v>110</v>
      </c>
      <c r="K26">
        <f>VLOOKUP($J26,Offense2011[],2)</f>
        <v>33.299999999999997</v>
      </c>
      <c r="L26">
        <f>VLOOKUP($J26,Offense2011[],3)</f>
        <v>78.849999999999994</v>
      </c>
      <c r="M26">
        <f>VLOOKUP($J26,Offense2011[],4)</f>
        <v>61.54</v>
      </c>
      <c r="N26">
        <f>VLOOKUP($J26,Offense2011[],5)</f>
        <v>17.309999999999999</v>
      </c>
      <c r="O26" s="1">
        <f>VLOOKUP($J26,Offense2011[],6)</f>
        <v>1.9431944444444443E-2</v>
      </c>
      <c r="P26">
        <f>VLOOKUP($J26,Offense2011[],7)</f>
        <v>21</v>
      </c>
      <c r="Q26">
        <v>2011</v>
      </c>
    </row>
    <row r="27" spans="1:17" x14ac:dyDescent="0.2">
      <c r="A27" s="10" t="s">
        <v>81</v>
      </c>
      <c r="B27" s="11">
        <v>21.3</v>
      </c>
      <c r="C27" s="10">
        <v>84.38</v>
      </c>
      <c r="D27" s="10">
        <v>56.25</v>
      </c>
      <c r="E27" s="11">
        <v>28.13</v>
      </c>
      <c r="F27" s="13">
        <v>2.2092013888888887E-2</v>
      </c>
      <c r="G27" s="10">
        <v>17</v>
      </c>
    </row>
    <row r="28" spans="1:17" x14ac:dyDescent="0.2">
      <c r="A28" s="7" t="s">
        <v>108</v>
      </c>
      <c r="B28" s="8">
        <v>25.5</v>
      </c>
      <c r="C28" s="7">
        <v>86.49</v>
      </c>
      <c r="D28" s="7">
        <v>48.65</v>
      </c>
      <c r="E28" s="8">
        <v>37.840000000000003</v>
      </c>
      <c r="F28" s="12">
        <v>1.9660763888888887E-2</v>
      </c>
      <c r="G28" s="7">
        <v>26</v>
      </c>
    </row>
    <row r="29" spans="1:17" x14ac:dyDescent="0.2">
      <c r="A29" s="10" t="s">
        <v>9</v>
      </c>
      <c r="B29" s="11">
        <v>12.9</v>
      </c>
      <c r="C29" s="10">
        <v>70</v>
      </c>
      <c r="D29" s="10">
        <v>53.33</v>
      </c>
      <c r="E29" s="11">
        <v>16.670000000000002</v>
      </c>
      <c r="F29" s="13">
        <v>1.9219675925925925E-2</v>
      </c>
      <c r="G29" s="10">
        <v>27</v>
      </c>
    </row>
    <row r="30" spans="1:17" x14ac:dyDescent="0.2">
      <c r="A30" s="7" t="s">
        <v>95</v>
      </c>
      <c r="B30" s="8">
        <v>25</v>
      </c>
      <c r="C30" s="7">
        <v>86.96</v>
      </c>
      <c r="D30" s="7">
        <v>47.83</v>
      </c>
      <c r="E30" s="8">
        <v>39.130000000000003</v>
      </c>
      <c r="F30" s="12">
        <v>2.0510185185185183E-2</v>
      </c>
      <c r="G30" s="7">
        <v>15</v>
      </c>
    </row>
    <row r="31" spans="1:17" x14ac:dyDescent="0.2">
      <c r="A31" s="10" t="s">
        <v>88</v>
      </c>
      <c r="B31" s="11">
        <v>30.6</v>
      </c>
      <c r="C31" s="10">
        <v>86.54</v>
      </c>
      <c r="D31" s="10">
        <v>57.69</v>
      </c>
      <c r="E31" s="11">
        <v>28.85</v>
      </c>
      <c r="F31" s="13">
        <v>2.0729166666666667E-2</v>
      </c>
      <c r="G31" s="10">
        <v>19</v>
      </c>
    </row>
    <row r="32" spans="1:17" x14ac:dyDescent="0.2">
      <c r="A32" s="7" t="s">
        <v>73</v>
      </c>
      <c r="B32" s="8">
        <v>28.5</v>
      </c>
      <c r="C32" s="7">
        <v>86.84</v>
      </c>
      <c r="D32" s="7">
        <v>71.05</v>
      </c>
      <c r="E32" s="8">
        <v>15.79</v>
      </c>
      <c r="F32" s="12">
        <v>2.2274768518518517E-2</v>
      </c>
      <c r="G32" s="7">
        <v>23</v>
      </c>
    </row>
    <row r="33" spans="1:7" x14ac:dyDescent="0.2">
      <c r="A33" s="10" t="s">
        <v>22</v>
      </c>
      <c r="B33" s="11">
        <v>32</v>
      </c>
      <c r="C33" s="10">
        <v>81.819999999999993</v>
      </c>
      <c r="D33" s="10">
        <v>61.82</v>
      </c>
      <c r="E33" s="11">
        <v>20</v>
      </c>
      <c r="F33" s="13">
        <v>2.3365625000000001E-2</v>
      </c>
      <c r="G33" s="10">
        <v>25</v>
      </c>
    </row>
    <row r="34" spans="1:7" x14ac:dyDescent="0.2">
      <c r="A34" s="7" t="s">
        <v>71</v>
      </c>
      <c r="B34" s="8">
        <v>34.299999999999997</v>
      </c>
      <c r="C34" s="7">
        <v>89.09</v>
      </c>
      <c r="D34" s="7">
        <v>72.73</v>
      </c>
      <c r="E34" s="8">
        <v>16.36</v>
      </c>
      <c r="F34" s="12">
        <v>2.2164351851851852E-2</v>
      </c>
      <c r="G34" s="7">
        <v>19</v>
      </c>
    </row>
    <row r="35" spans="1:7" x14ac:dyDescent="0.2">
      <c r="A35" s="10" t="s">
        <v>105</v>
      </c>
      <c r="B35" s="11">
        <v>31.5</v>
      </c>
      <c r="C35" s="10">
        <v>82.14</v>
      </c>
      <c r="D35" s="10">
        <v>67.86</v>
      </c>
      <c r="E35" s="11">
        <v>14.29</v>
      </c>
      <c r="F35" s="13">
        <v>2.070162037037037E-2</v>
      </c>
      <c r="G35" s="10">
        <v>26</v>
      </c>
    </row>
    <row r="36" spans="1:7" x14ac:dyDescent="0.2">
      <c r="A36" s="7" t="s">
        <v>67</v>
      </c>
      <c r="B36" s="8">
        <v>49.3</v>
      </c>
      <c r="C36" s="7">
        <v>84.21</v>
      </c>
      <c r="D36" s="7">
        <v>67.11</v>
      </c>
      <c r="E36" s="8">
        <v>17.11</v>
      </c>
      <c r="F36" s="12">
        <v>1.8437499999999999E-2</v>
      </c>
      <c r="G36" s="7">
        <v>15</v>
      </c>
    </row>
    <row r="37" spans="1:7" x14ac:dyDescent="0.2">
      <c r="A37" s="10" t="s">
        <v>115</v>
      </c>
      <c r="B37" s="11">
        <v>20.3</v>
      </c>
      <c r="C37" s="10">
        <v>72.73</v>
      </c>
      <c r="D37" s="10">
        <v>57.58</v>
      </c>
      <c r="E37" s="11">
        <v>15.15</v>
      </c>
      <c r="F37" s="13">
        <v>2.0583564814814815E-2</v>
      </c>
      <c r="G37" s="10">
        <v>26</v>
      </c>
    </row>
    <row r="38" spans="1:7" x14ac:dyDescent="0.2">
      <c r="A38" s="7" t="s">
        <v>125</v>
      </c>
      <c r="B38" s="8">
        <v>22.6</v>
      </c>
      <c r="C38" s="7">
        <v>83.72</v>
      </c>
      <c r="D38" s="7">
        <v>62.79</v>
      </c>
      <c r="E38" s="8">
        <v>20.93</v>
      </c>
      <c r="F38" s="12">
        <v>2.1555324074074071E-2</v>
      </c>
      <c r="G38" s="7">
        <v>28</v>
      </c>
    </row>
    <row r="39" spans="1:7" x14ac:dyDescent="0.2">
      <c r="A39" s="10" t="s">
        <v>76</v>
      </c>
      <c r="B39" s="11">
        <v>21.4</v>
      </c>
      <c r="C39" s="10">
        <v>75.680000000000007</v>
      </c>
      <c r="D39" s="10">
        <v>48.65</v>
      </c>
      <c r="E39" s="11">
        <v>27.03</v>
      </c>
      <c r="F39" s="13">
        <v>1.9511921296296298E-2</v>
      </c>
      <c r="G39" s="10">
        <v>18</v>
      </c>
    </row>
    <row r="40" spans="1:7" x14ac:dyDescent="0.2">
      <c r="A40" s="7" t="s">
        <v>68</v>
      </c>
      <c r="B40" s="8">
        <v>27.5</v>
      </c>
      <c r="C40" s="7">
        <v>83.67</v>
      </c>
      <c r="D40" s="7">
        <v>63.27</v>
      </c>
      <c r="E40" s="8">
        <v>20.41</v>
      </c>
      <c r="F40" s="12">
        <v>1.9829050925925927E-2</v>
      </c>
      <c r="G40" s="7">
        <v>18</v>
      </c>
    </row>
    <row r="41" spans="1:7" x14ac:dyDescent="0.2">
      <c r="A41" s="10" t="s">
        <v>52</v>
      </c>
      <c r="B41" s="11">
        <v>22.7</v>
      </c>
      <c r="C41" s="10">
        <v>68.75</v>
      </c>
      <c r="D41" s="10">
        <v>58.33</v>
      </c>
      <c r="E41" s="11">
        <v>10.42</v>
      </c>
      <c r="F41" s="13">
        <v>2.0239467592592594E-2</v>
      </c>
      <c r="G41" s="10">
        <v>35</v>
      </c>
    </row>
    <row r="42" spans="1:7" x14ac:dyDescent="0.2">
      <c r="A42" s="7" t="s">
        <v>118</v>
      </c>
      <c r="B42" s="8">
        <v>22.3</v>
      </c>
      <c r="C42" s="7">
        <v>81.08</v>
      </c>
      <c r="D42" s="7">
        <v>64.86</v>
      </c>
      <c r="E42" s="8">
        <v>16.22</v>
      </c>
      <c r="F42" s="12">
        <v>2.1701388888888892E-2</v>
      </c>
      <c r="G42" s="7">
        <v>23</v>
      </c>
    </row>
    <row r="43" spans="1:7" x14ac:dyDescent="0.2">
      <c r="A43" s="10" t="s">
        <v>36</v>
      </c>
      <c r="B43" s="11">
        <v>31.8</v>
      </c>
      <c r="C43" s="10">
        <v>88.33</v>
      </c>
      <c r="D43" s="10">
        <v>68.33</v>
      </c>
      <c r="E43" s="11">
        <v>20</v>
      </c>
      <c r="F43" s="13">
        <v>2.3558564814814817E-2</v>
      </c>
      <c r="G43" s="10">
        <v>15</v>
      </c>
    </row>
    <row r="44" spans="1:7" x14ac:dyDescent="0.2">
      <c r="A44" s="7" t="s">
        <v>127</v>
      </c>
      <c r="B44" s="8">
        <v>17.100000000000001</v>
      </c>
      <c r="C44" s="7">
        <v>92.31</v>
      </c>
      <c r="D44" s="7">
        <v>61.54</v>
      </c>
      <c r="E44" s="8">
        <v>30.77</v>
      </c>
      <c r="F44" s="12">
        <v>2.1073495370370371E-2</v>
      </c>
      <c r="G44" s="7">
        <v>19</v>
      </c>
    </row>
    <row r="45" spans="1:7" x14ac:dyDescent="0.2">
      <c r="A45" s="10" t="s">
        <v>86</v>
      </c>
      <c r="B45" s="11">
        <v>15.8</v>
      </c>
      <c r="C45" s="10">
        <v>80</v>
      </c>
      <c r="D45" s="10">
        <v>50</v>
      </c>
      <c r="E45" s="11">
        <v>30</v>
      </c>
      <c r="F45" s="13">
        <v>1.9886226851851853E-2</v>
      </c>
      <c r="G45" s="10">
        <v>24</v>
      </c>
    </row>
    <row r="46" spans="1:7" x14ac:dyDescent="0.2">
      <c r="A46" s="7" t="s">
        <v>65</v>
      </c>
      <c r="B46" s="8">
        <v>30.1</v>
      </c>
      <c r="C46" s="7">
        <v>86</v>
      </c>
      <c r="D46" s="7">
        <v>64</v>
      </c>
      <c r="E46" s="8">
        <v>22</v>
      </c>
      <c r="F46" s="12">
        <v>1.9517476851851852E-2</v>
      </c>
      <c r="G46" s="7">
        <v>20</v>
      </c>
    </row>
    <row r="47" spans="1:7" x14ac:dyDescent="0.2">
      <c r="A47" s="10" t="s">
        <v>58</v>
      </c>
      <c r="B47" s="11">
        <v>32.299999999999997</v>
      </c>
      <c r="C47" s="10">
        <v>92.86</v>
      </c>
      <c r="D47" s="10">
        <v>66.67</v>
      </c>
      <c r="E47" s="11">
        <v>26.19</v>
      </c>
      <c r="F47" s="13">
        <v>1.9501388888888891E-2</v>
      </c>
      <c r="G47" s="10">
        <v>23</v>
      </c>
    </row>
    <row r="48" spans="1:7" x14ac:dyDescent="0.2">
      <c r="A48" s="7" t="s">
        <v>21</v>
      </c>
      <c r="B48" s="8">
        <v>24.6</v>
      </c>
      <c r="C48" s="7">
        <v>82.05</v>
      </c>
      <c r="D48" s="7">
        <v>69.23</v>
      </c>
      <c r="E48" s="8">
        <v>12.82</v>
      </c>
      <c r="F48" s="12">
        <v>2.2578125000000001E-2</v>
      </c>
      <c r="G48" s="7">
        <v>18</v>
      </c>
    </row>
    <row r="49" spans="1:7" x14ac:dyDescent="0.2">
      <c r="A49" s="10" t="s">
        <v>12</v>
      </c>
      <c r="B49" s="11">
        <v>21.9</v>
      </c>
      <c r="C49" s="10">
        <v>83.78</v>
      </c>
      <c r="D49" s="10">
        <v>62.16</v>
      </c>
      <c r="E49" s="11">
        <v>21.62</v>
      </c>
      <c r="F49" s="13">
        <v>2.2200810185185185E-2</v>
      </c>
      <c r="G49" s="10">
        <v>22</v>
      </c>
    </row>
    <row r="50" spans="1:7" x14ac:dyDescent="0.2">
      <c r="A50" s="7" t="s">
        <v>70</v>
      </c>
      <c r="B50" s="8">
        <v>35.700000000000003</v>
      </c>
      <c r="C50" s="7">
        <v>93.44</v>
      </c>
      <c r="D50" s="7">
        <v>72.13</v>
      </c>
      <c r="E50" s="8">
        <v>21.31</v>
      </c>
      <c r="F50" s="12">
        <v>2.1865856481481483E-2</v>
      </c>
      <c r="G50" s="7">
        <v>10</v>
      </c>
    </row>
    <row r="51" spans="1:7" x14ac:dyDescent="0.2">
      <c r="A51" s="10" t="s">
        <v>78</v>
      </c>
      <c r="B51" s="11">
        <v>21.8</v>
      </c>
      <c r="C51" s="10">
        <v>87.88</v>
      </c>
      <c r="D51" s="10">
        <v>57.58</v>
      </c>
      <c r="E51" s="11">
        <v>30.3</v>
      </c>
      <c r="F51" s="13">
        <v>2.000625E-2</v>
      </c>
      <c r="G51" s="10">
        <v>27</v>
      </c>
    </row>
    <row r="52" spans="1:7" x14ac:dyDescent="0.2">
      <c r="A52" s="7" t="s">
        <v>97</v>
      </c>
      <c r="B52" s="8">
        <v>23.1</v>
      </c>
      <c r="C52" s="7">
        <v>69.569999999999993</v>
      </c>
      <c r="D52" s="7">
        <v>45.65</v>
      </c>
      <c r="E52" s="8">
        <v>23.91</v>
      </c>
      <c r="F52" s="12">
        <v>1.7551157407407408E-2</v>
      </c>
      <c r="G52" s="7">
        <v>23</v>
      </c>
    </row>
    <row r="53" spans="1:7" x14ac:dyDescent="0.2">
      <c r="A53" s="10" t="s">
        <v>1</v>
      </c>
      <c r="B53" s="11">
        <v>16.3</v>
      </c>
      <c r="C53" s="10">
        <v>86.36</v>
      </c>
      <c r="D53" s="10">
        <v>59.09</v>
      </c>
      <c r="E53" s="11">
        <v>27.27</v>
      </c>
      <c r="F53" s="13">
        <v>1.9971990740740742E-2</v>
      </c>
      <c r="G53" s="10">
        <v>18</v>
      </c>
    </row>
    <row r="54" spans="1:7" x14ac:dyDescent="0.2">
      <c r="A54" s="7" t="s">
        <v>39</v>
      </c>
      <c r="B54" s="8">
        <v>26.5</v>
      </c>
      <c r="C54" s="7">
        <v>82.93</v>
      </c>
      <c r="D54" s="7">
        <v>65.849999999999994</v>
      </c>
      <c r="E54" s="8">
        <v>17.07</v>
      </c>
      <c r="F54" s="12">
        <v>2.0416666666666666E-2</v>
      </c>
      <c r="G54" s="7">
        <v>19</v>
      </c>
    </row>
    <row r="55" spans="1:7" x14ac:dyDescent="0.2">
      <c r="A55" s="10" t="s">
        <v>93</v>
      </c>
      <c r="B55" s="11">
        <v>21.3</v>
      </c>
      <c r="C55" s="10">
        <v>71.790000000000006</v>
      </c>
      <c r="D55" s="10">
        <v>69.23</v>
      </c>
      <c r="E55" s="11">
        <v>2.56</v>
      </c>
      <c r="F55" s="13">
        <v>2.0172685185185186E-2</v>
      </c>
      <c r="G55" s="10">
        <v>21</v>
      </c>
    </row>
    <row r="56" spans="1:7" x14ac:dyDescent="0.2">
      <c r="A56" s="7" t="s">
        <v>84</v>
      </c>
      <c r="B56" s="8">
        <v>33.299999999999997</v>
      </c>
      <c r="C56" s="7">
        <v>84.48</v>
      </c>
      <c r="D56" s="7">
        <v>63.79</v>
      </c>
      <c r="E56" s="8">
        <v>20.69</v>
      </c>
      <c r="F56" s="12">
        <v>2.1703125E-2</v>
      </c>
      <c r="G56" s="7">
        <v>22</v>
      </c>
    </row>
    <row r="57" spans="1:7" x14ac:dyDescent="0.2">
      <c r="A57" s="10" t="s">
        <v>104</v>
      </c>
      <c r="B57" s="11">
        <v>31</v>
      </c>
      <c r="C57" s="10">
        <v>83.93</v>
      </c>
      <c r="D57" s="10">
        <v>60.71</v>
      </c>
      <c r="E57" s="11">
        <v>23.21</v>
      </c>
      <c r="F57" s="13">
        <v>2.1698032407407405E-2</v>
      </c>
      <c r="G57" s="10">
        <v>18</v>
      </c>
    </row>
    <row r="58" spans="1:7" x14ac:dyDescent="0.2">
      <c r="A58" s="7" t="s">
        <v>91</v>
      </c>
      <c r="B58" s="8">
        <v>22.3</v>
      </c>
      <c r="C58" s="7">
        <v>68.290000000000006</v>
      </c>
      <c r="D58" s="7">
        <v>51.22</v>
      </c>
      <c r="E58" s="8">
        <v>17.07</v>
      </c>
      <c r="F58" s="12">
        <v>1.7947569444444447E-2</v>
      </c>
      <c r="G58" s="7">
        <v>28</v>
      </c>
    </row>
    <row r="59" spans="1:7" x14ac:dyDescent="0.2">
      <c r="A59" s="10" t="s">
        <v>107</v>
      </c>
      <c r="B59" s="11">
        <v>18.399999999999999</v>
      </c>
      <c r="C59" s="10">
        <v>83.33</v>
      </c>
      <c r="D59" s="10">
        <v>61.11</v>
      </c>
      <c r="E59" s="11">
        <v>22.22</v>
      </c>
      <c r="F59" s="13">
        <v>2.0243055555555552E-2</v>
      </c>
      <c r="G59" s="10">
        <v>17</v>
      </c>
    </row>
    <row r="60" spans="1:7" x14ac:dyDescent="0.2">
      <c r="A60" s="7" t="s">
        <v>34</v>
      </c>
      <c r="B60" s="8">
        <v>16.100000000000001</v>
      </c>
      <c r="C60" s="7">
        <v>76</v>
      </c>
      <c r="D60" s="7">
        <v>52</v>
      </c>
      <c r="E60" s="8">
        <v>24</v>
      </c>
      <c r="F60" s="12">
        <v>2.005011574074074E-2</v>
      </c>
      <c r="G60" s="7">
        <v>25</v>
      </c>
    </row>
    <row r="61" spans="1:7" x14ac:dyDescent="0.2">
      <c r="A61" s="10" t="s">
        <v>35</v>
      </c>
      <c r="B61" s="11">
        <v>25.3</v>
      </c>
      <c r="C61" s="10">
        <v>85</v>
      </c>
      <c r="D61" s="10">
        <v>55</v>
      </c>
      <c r="E61" s="11">
        <v>30</v>
      </c>
      <c r="F61" s="13">
        <v>1.8239004629629633E-2</v>
      </c>
      <c r="G61" s="10">
        <v>20</v>
      </c>
    </row>
    <row r="62" spans="1:7" x14ac:dyDescent="0.2">
      <c r="A62" s="7" t="s">
        <v>10</v>
      </c>
      <c r="B62" s="8">
        <v>32.799999999999997</v>
      </c>
      <c r="C62" s="7">
        <v>89.47</v>
      </c>
      <c r="D62" s="7">
        <v>64.91</v>
      </c>
      <c r="E62" s="8">
        <v>24.56</v>
      </c>
      <c r="F62" s="12">
        <v>2.0817361111111109E-2</v>
      </c>
      <c r="G62" s="7">
        <v>19</v>
      </c>
    </row>
    <row r="63" spans="1:7" x14ac:dyDescent="0.2">
      <c r="A63" s="10" t="s">
        <v>49</v>
      </c>
      <c r="B63" s="11">
        <v>29.7</v>
      </c>
      <c r="C63" s="10">
        <v>77.08</v>
      </c>
      <c r="D63" s="10">
        <v>62.5</v>
      </c>
      <c r="E63" s="11">
        <v>14.58</v>
      </c>
      <c r="F63" s="13">
        <v>2.1770833333333336E-2</v>
      </c>
      <c r="G63" s="10">
        <v>15</v>
      </c>
    </row>
    <row r="64" spans="1:7" x14ac:dyDescent="0.2">
      <c r="A64" s="7" t="s">
        <v>83</v>
      </c>
      <c r="B64" s="8">
        <v>29.2</v>
      </c>
      <c r="C64" s="7">
        <v>86.54</v>
      </c>
      <c r="D64" s="7">
        <v>63.46</v>
      </c>
      <c r="E64" s="8">
        <v>23.08</v>
      </c>
      <c r="F64" s="12">
        <v>1.978726851851852E-2</v>
      </c>
      <c r="G64" s="7">
        <v>19</v>
      </c>
    </row>
    <row r="65" spans="1:7" x14ac:dyDescent="0.2">
      <c r="A65" s="10" t="s">
        <v>69</v>
      </c>
      <c r="B65" s="11">
        <v>31.7</v>
      </c>
      <c r="C65" s="10">
        <v>79.31</v>
      </c>
      <c r="D65" s="10">
        <v>58.62</v>
      </c>
      <c r="E65" s="11">
        <v>20.69</v>
      </c>
      <c r="F65" s="13">
        <v>2.3977083333333333E-2</v>
      </c>
      <c r="G65" s="10">
        <v>25</v>
      </c>
    </row>
    <row r="66" spans="1:7" x14ac:dyDescent="0.2">
      <c r="A66" s="7" t="s">
        <v>111</v>
      </c>
      <c r="B66" s="8">
        <v>12</v>
      </c>
      <c r="C66" s="7">
        <v>62.07</v>
      </c>
      <c r="D66" s="7">
        <v>48.28</v>
      </c>
      <c r="E66" s="8">
        <v>13.79</v>
      </c>
      <c r="F66" s="12">
        <v>1.9850462962962962E-2</v>
      </c>
      <c r="G66" s="7">
        <v>21</v>
      </c>
    </row>
    <row r="67" spans="1:7" x14ac:dyDescent="0.2">
      <c r="A67" s="10" t="s">
        <v>50</v>
      </c>
      <c r="B67" s="11">
        <v>24.5</v>
      </c>
      <c r="C67" s="10">
        <v>73.680000000000007</v>
      </c>
      <c r="D67" s="10">
        <v>57.89</v>
      </c>
      <c r="E67" s="11">
        <v>15.79</v>
      </c>
      <c r="F67" s="13">
        <v>2.0382870370370371E-2</v>
      </c>
      <c r="G67" s="10">
        <v>25</v>
      </c>
    </row>
    <row r="68" spans="1:7" x14ac:dyDescent="0.2">
      <c r="A68" s="7" t="s">
        <v>82</v>
      </c>
      <c r="B68" s="8">
        <v>28</v>
      </c>
      <c r="C68" s="7">
        <v>81.25</v>
      </c>
      <c r="D68" s="7">
        <v>70.83</v>
      </c>
      <c r="E68" s="8">
        <v>10.42</v>
      </c>
      <c r="F68" s="12">
        <v>2.0317824074074075E-2</v>
      </c>
      <c r="G68" s="7">
        <v>26</v>
      </c>
    </row>
    <row r="69" spans="1:7" x14ac:dyDescent="0.2">
      <c r="A69" s="10" t="s">
        <v>46</v>
      </c>
      <c r="B69" s="11">
        <v>28.2</v>
      </c>
      <c r="C69" s="10">
        <v>86.67</v>
      </c>
      <c r="D69" s="10">
        <v>66.67</v>
      </c>
      <c r="E69" s="11">
        <v>20</v>
      </c>
      <c r="F69" s="13">
        <v>2.1393287037037037E-2</v>
      </c>
      <c r="G69" s="10">
        <v>25</v>
      </c>
    </row>
    <row r="70" spans="1:7" x14ac:dyDescent="0.2">
      <c r="A70" s="7" t="s">
        <v>16</v>
      </c>
      <c r="B70" s="8">
        <v>24.8</v>
      </c>
      <c r="C70" s="7">
        <v>69.23</v>
      </c>
      <c r="D70" s="7">
        <v>58.97</v>
      </c>
      <c r="E70" s="8">
        <v>10.26</v>
      </c>
      <c r="F70" s="12">
        <v>2.246435185185185E-2</v>
      </c>
      <c r="G70" s="7">
        <v>17</v>
      </c>
    </row>
    <row r="71" spans="1:7" x14ac:dyDescent="0.2">
      <c r="A71" s="10" t="s">
        <v>51</v>
      </c>
      <c r="B71" s="11">
        <v>38.299999999999997</v>
      </c>
      <c r="C71" s="10">
        <v>87.14</v>
      </c>
      <c r="D71" s="10">
        <v>62.86</v>
      </c>
      <c r="E71" s="11">
        <v>24.29</v>
      </c>
      <c r="F71" s="13">
        <v>1.9968634259259259E-2</v>
      </c>
      <c r="G71" s="10">
        <v>19</v>
      </c>
    </row>
    <row r="72" spans="1:7" x14ac:dyDescent="0.2">
      <c r="A72" s="7" t="s">
        <v>55</v>
      </c>
      <c r="B72" s="8">
        <v>28.9</v>
      </c>
      <c r="C72" s="7">
        <v>77.05</v>
      </c>
      <c r="D72" s="7">
        <v>70.489999999999995</v>
      </c>
      <c r="E72" s="8">
        <v>6.56</v>
      </c>
      <c r="F72" s="12">
        <v>2.1483217592592595E-2</v>
      </c>
      <c r="G72" s="7">
        <v>17</v>
      </c>
    </row>
    <row r="73" spans="1:7" x14ac:dyDescent="0.2">
      <c r="A73" s="10" t="s">
        <v>23</v>
      </c>
      <c r="B73" s="11">
        <v>29.2</v>
      </c>
      <c r="C73" s="10">
        <v>77.08</v>
      </c>
      <c r="D73" s="10">
        <v>66.67</v>
      </c>
      <c r="E73" s="11">
        <v>10.42</v>
      </c>
      <c r="F73" s="13">
        <v>2.0753240740740742E-2</v>
      </c>
      <c r="G73" s="10">
        <v>29</v>
      </c>
    </row>
    <row r="74" spans="1:7" x14ac:dyDescent="0.2">
      <c r="A74" s="7" t="s">
        <v>13</v>
      </c>
      <c r="B74" s="8">
        <v>30.5</v>
      </c>
      <c r="C74" s="7">
        <v>80.95</v>
      </c>
      <c r="D74" s="7">
        <v>49.21</v>
      </c>
      <c r="E74" s="8">
        <v>31.75</v>
      </c>
      <c r="F74" s="12">
        <v>2.0753125000000001E-2</v>
      </c>
      <c r="G74" s="7">
        <v>27</v>
      </c>
    </row>
    <row r="75" spans="1:7" x14ac:dyDescent="0.2">
      <c r="A75" s="10" t="s">
        <v>4</v>
      </c>
      <c r="B75" s="11">
        <v>24.5</v>
      </c>
      <c r="C75" s="10">
        <v>89.74</v>
      </c>
      <c r="D75" s="10">
        <v>64.099999999999994</v>
      </c>
      <c r="E75" s="11">
        <v>25.64</v>
      </c>
      <c r="F75" s="13">
        <v>2.1302546296296299E-2</v>
      </c>
      <c r="G75" s="10">
        <v>15</v>
      </c>
    </row>
    <row r="76" spans="1:7" x14ac:dyDescent="0.2">
      <c r="A76" s="7" t="s">
        <v>3</v>
      </c>
      <c r="B76" s="8">
        <v>39.5</v>
      </c>
      <c r="C76" s="7">
        <v>87.88</v>
      </c>
      <c r="D76" s="7">
        <v>59.09</v>
      </c>
      <c r="E76" s="8">
        <v>28.79</v>
      </c>
      <c r="F76" s="12">
        <v>2.0816435185185184E-2</v>
      </c>
      <c r="G76" s="7">
        <v>29</v>
      </c>
    </row>
    <row r="77" spans="1:7" x14ac:dyDescent="0.2">
      <c r="A77" s="10" t="s">
        <v>2</v>
      </c>
      <c r="B77" s="11">
        <v>48.7</v>
      </c>
      <c r="C77" s="10">
        <v>89.02</v>
      </c>
      <c r="D77" s="10">
        <v>64.63</v>
      </c>
      <c r="E77" s="11">
        <v>24.39</v>
      </c>
      <c r="F77" s="13">
        <v>1.8260300925925926E-2</v>
      </c>
      <c r="G77" s="10">
        <v>23</v>
      </c>
    </row>
    <row r="78" spans="1:7" x14ac:dyDescent="0.2">
      <c r="A78" s="7" t="s">
        <v>18</v>
      </c>
      <c r="B78" s="8">
        <v>46.1</v>
      </c>
      <c r="C78" s="7">
        <v>86.57</v>
      </c>
      <c r="D78" s="7">
        <v>76.12</v>
      </c>
      <c r="E78" s="8">
        <v>10.45</v>
      </c>
      <c r="F78" s="12">
        <v>1.7359490740740741E-2</v>
      </c>
      <c r="G78" s="7">
        <v>20</v>
      </c>
    </row>
    <row r="79" spans="1:7" x14ac:dyDescent="0.2">
      <c r="A79" s="10" t="s">
        <v>112</v>
      </c>
      <c r="B79" s="11">
        <v>21.8</v>
      </c>
      <c r="C79" s="10">
        <v>75.56</v>
      </c>
      <c r="D79" s="10">
        <v>48.89</v>
      </c>
      <c r="E79" s="11">
        <v>26.67</v>
      </c>
      <c r="F79" s="13">
        <v>2.0356828703703703E-2</v>
      </c>
      <c r="G79" s="10">
        <v>31</v>
      </c>
    </row>
    <row r="80" spans="1:7" x14ac:dyDescent="0.2">
      <c r="A80" s="7" t="s">
        <v>6</v>
      </c>
      <c r="B80" s="8">
        <v>19.3</v>
      </c>
      <c r="C80" s="7">
        <v>76.19</v>
      </c>
      <c r="D80" s="7">
        <v>50</v>
      </c>
      <c r="E80" s="8">
        <v>26.19</v>
      </c>
      <c r="F80" s="12">
        <v>2.0884953703703704E-2</v>
      </c>
      <c r="G80" s="7">
        <v>25</v>
      </c>
    </row>
    <row r="81" spans="1:7" x14ac:dyDescent="0.2">
      <c r="A81" s="10" t="s">
        <v>99</v>
      </c>
      <c r="B81" s="11">
        <v>24.2</v>
      </c>
      <c r="C81" s="10">
        <v>91.3</v>
      </c>
      <c r="D81" s="10">
        <v>63.04</v>
      </c>
      <c r="E81" s="11">
        <v>28.26</v>
      </c>
      <c r="F81" s="13">
        <v>2.0037384259259262E-2</v>
      </c>
      <c r="G81" s="10">
        <v>22</v>
      </c>
    </row>
    <row r="82" spans="1:7" x14ac:dyDescent="0.2">
      <c r="A82" s="7" t="s">
        <v>96</v>
      </c>
      <c r="B82" s="8">
        <v>26.9</v>
      </c>
      <c r="C82" s="7">
        <v>84.62</v>
      </c>
      <c r="D82" s="7">
        <v>61.54</v>
      </c>
      <c r="E82" s="8">
        <v>23.08</v>
      </c>
      <c r="F82" s="12">
        <v>2.0343634259259259E-2</v>
      </c>
      <c r="G82" s="7">
        <v>20</v>
      </c>
    </row>
    <row r="83" spans="1:7" x14ac:dyDescent="0.2">
      <c r="A83" s="10" t="s">
        <v>123</v>
      </c>
      <c r="B83" s="11">
        <v>23.3</v>
      </c>
      <c r="C83" s="10">
        <v>88.89</v>
      </c>
      <c r="D83" s="10">
        <v>58.33</v>
      </c>
      <c r="E83" s="11">
        <v>30.56</v>
      </c>
      <c r="F83" s="13">
        <v>2.1249074074074073E-2</v>
      </c>
      <c r="G83" s="10">
        <v>19</v>
      </c>
    </row>
    <row r="84" spans="1:7" x14ac:dyDescent="0.2">
      <c r="A84" s="7" t="s">
        <v>119</v>
      </c>
      <c r="B84" s="8">
        <v>26.4</v>
      </c>
      <c r="C84" s="7">
        <v>78.849999999999994</v>
      </c>
      <c r="D84" s="7">
        <v>53.85</v>
      </c>
      <c r="E84" s="8">
        <v>25</v>
      </c>
      <c r="F84" s="12">
        <v>2.2864120370370375E-2</v>
      </c>
      <c r="G84" s="7">
        <v>28</v>
      </c>
    </row>
    <row r="85" spans="1:7" x14ac:dyDescent="0.2">
      <c r="A85" s="10" t="s">
        <v>48</v>
      </c>
      <c r="B85" s="11">
        <v>29.8</v>
      </c>
      <c r="C85" s="10">
        <v>78.430000000000007</v>
      </c>
      <c r="D85" s="10">
        <v>68.63</v>
      </c>
      <c r="E85" s="11">
        <v>9.8000000000000007</v>
      </c>
      <c r="F85" s="13">
        <v>2.1110185185185187E-2</v>
      </c>
      <c r="G85" s="10">
        <v>16</v>
      </c>
    </row>
    <row r="86" spans="1:7" x14ac:dyDescent="0.2">
      <c r="A86" s="7" t="s">
        <v>124</v>
      </c>
      <c r="B86" s="8">
        <v>24.5</v>
      </c>
      <c r="C86" s="7">
        <v>81.400000000000006</v>
      </c>
      <c r="D86" s="7">
        <v>44.19</v>
      </c>
      <c r="E86" s="8">
        <v>37.21</v>
      </c>
      <c r="F86" s="12">
        <v>2.0444675925925925E-2</v>
      </c>
      <c r="G86" s="7">
        <v>32</v>
      </c>
    </row>
    <row r="87" spans="1:7" x14ac:dyDescent="0.2">
      <c r="A87" s="10" t="s">
        <v>7</v>
      </c>
      <c r="B87" s="11">
        <v>25.8</v>
      </c>
      <c r="C87" s="10">
        <v>75.47</v>
      </c>
      <c r="D87" s="10">
        <v>60.38</v>
      </c>
      <c r="E87" s="11">
        <v>15.09</v>
      </c>
      <c r="F87" s="13">
        <v>2.120810185185185E-2</v>
      </c>
      <c r="G87" s="10">
        <v>32</v>
      </c>
    </row>
    <row r="88" spans="1:7" x14ac:dyDescent="0.2">
      <c r="A88" s="7" t="s">
        <v>98</v>
      </c>
      <c r="B88" s="8">
        <v>30.1</v>
      </c>
      <c r="C88" s="7">
        <v>80.95</v>
      </c>
      <c r="D88" s="7">
        <v>76.19</v>
      </c>
      <c r="E88" s="8">
        <v>4.76</v>
      </c>
      <c r="F88" s="12">
        <v>2.1928472222222221E-2</v>
      </c>
      <c r="G88" s="7">
        <v>27</v>
      </c>
    </row>
    <row r="89" spans="1:7" x14ac:dyDescent="0.2">
      <c r="A89" s="10" t="s">
        <v>15</v>
      </c>
      <c r="B89" s="11">
        <v>29.3</v>
      </c>
      <c r="C89" s="10">
        <v>85.42</v>
      </c>
      <c r="D89" s="10">
        <v>56.25</v>
      </c>
      <c r="E89" s="11">
        <v>29.17</v>
      </c>
      <c r="F89" s="13">
        <v>1.9231250000000002E-2</v>
      </c>
      <c r="G89" s="10">
        <v>24</v>
      </c>
    </row>
    <row r="90" spans="1:7" x14ac:dyDescent="0.2">
      <c r="A90" s="7" t="s">
        <v>47</v>
      </c>
      <c r="B90" s="8">
        <v>36.9</v>
      </c>
      <c r="C90" s="7">
        <v>81.03</v>
      </c>
      <c r="D90" s="7">
        <v>55.17</v>
      </c>
      <c r="E90" s="8">
        <v>25.86</v>
      </c>
      <c r="F90" s="12">
        <v>2.0042129629629628E-2</v>
      </c>
      <c r="G90" s="7">
        <v>30</v>
      </c>
    </row>
    <row r="91" spans="1:7" x14ac:dyDescent="0.2">
      <c r="A91" s="10" t="s">
        <v>37</v>
      </c>
      <c r="B91" s="11">
        <v>43.2</v>
      </c>
      <c r="C91" s="10">
        <v>97.1</v>
      </c>
      <c r="D91" s="10">
        <v>76.81</v>
      </c>
      <c r="E91" s="11">
        <v>20.29</v>
      </c>
      <c r="F91" s="13">
        <v>2.3459722222222219E-2</v>
      </c>
      <c r="G91" s="10">
        <v>17</v>
      </c>
    </row>
    <row r="92" spans="1:7" x14ac:dyDescent="0.2">
      <c r="A92" s="7" t="s">
        <v>75</v>
      </c>
      <c r="B92" s="8">
        <v>24.2</v>
      </c>
      <c r="C92" s="7">
        <v>80</v>
      </c>
      <c r="D92" s="7">
        <v>52</v>
      </c>
      <c r="E92" s="8">
        <v>28</v>
      </c>
      <c r="F92" s="12">
        <v>2.0150462962962964E-2</v>
      </c>
      <c r="G92" s="7">
        <v>19</v>
      </c>
    </row>
    <row r="93" spans="1:7" x14ac:dyDescent="0.2">
      <c r="A93" s="10" t="s">
        <v>27</v>
      </c>
      <c r="B93" s="11">
        <v>40.799999999999997</v>
      </c>
      <c r="C93" s="10">
        <v>87.69</v>
      </c>
      <c r="D93" s="10">
        <v>72.31</v>
      </c>
      <c r="E93" s="11">
        <v>15.38</v>
      </c>
      <c r="F93" s="13">
        <v>2.1063078703703705E-2</v>
      </c>
      <c r="G93" s="10">
        <v>21</v>
      </c>
    </row>
    <row r="94" spans="1:7" x14ac:dyDescent="0.2">
      <c r="A94" s="7" t="s">
        <v>90</v>
      </c>
      <c r="B94" s="8">
        <v>30.6</v>
      </c>
      <c r="C94" s="7">
        <v>85.71</v>
      </c>
      <c r="D94" s="7">
        <v>57.14</v>
      </c>
      <c r="E94" s="8">
        <v>28.57</v>
      </c>
      <c r="F94" s="12">
        <v>2.2792013888888893E-2</v>
      </c>
      <c r="G94" s="7">
        <v>12</v>
      </c>
    </row>
    <row r="95" spans="1:7" x14ac:dyDescent="0.2">
      <c r="A95" s="10" t="s">
        <v>117</v>
      </c>
      <c r="B95" s="11">
        <v>20.3</v>
      </c>
      <c r="C95" s="10">
        <v>81.58</v>
      </c>
      <c r="D95" s="10">
        <v>63.16</v>
      </c>
      <c r="E95" s="11">
        <v>18.420000000000002</v>
      </c>
      <c r="F95" s="13">
        <v>2.1357986111111112E-2</v>
      </c>
      <c r="G95" s="10">
        <v>18</v>
      </c>
    </row>
    <row r="96" spans="1:7" x14ac:dyDescent="0.2">
      <c r="A96" s="7" t="s">
        <v>61</v>
      </c>
      <c r="B96" s="8">
        <v>28.1</v>
      </c>
      <c r="C96" s="7">
        <v>71.7</v>
      </c>
      <c r="D96" s="7">
        <v>50.94</v>
      </c>
      <c r="E96" s="8">
        <v>20.75</v>
      </c>
      <c r="F96" s="12">
        <v>2.3369791666666667E-2</v>
      </c>
      <c r="G96" s="7">
        <v>26</v>
      </c>
    </row>
    <row r="97" spans="1:7" x14ac:dyDescent="0.2">
      <c r="A97" s="10" t="s">
        <v>43</v>
      </c>
      <c r="B97" s="11">
        <v>39.1</v>
      </c>
      <c r="C97" s="10">
        <v>95.16</v>
      </c>
      <c r="D97" s="10">
        <v>67.739999999999995</v>
      </c>
      <c r="E97" s="11">
        <v>27.42</v>
      </c>
      <c r="F97" s="13">
        <v>1.9764120370370373E-2</v>
      </c>
      <c r="G97" s="10">
        <v>24</v>
      </c>
    </row>
    <row r="98" spans="1:7" x14ac:dyDescent="0.2">
      <c r="A98" s="7" t="s">
        <v>28</v>
      </c>
      <c r="B98" s="8">
        <v>33.799999999999997</v>
      </c>
      <c r="C98" s="7">
        <v>88.89</v>
      </c>
      <c r="D98" s="7">
        <v>74.069999999999993</v>
      </c>
      <c r="E98" s="8">
        <v>14.81</v>
      </c>
      <c r="F98" s="12">
        <v>1.9720254629629629E-2</v>
      </c>
      <c r="G98" s="7">
        <v>18</v>
      </c>
    </row>
    <row r="99" spans="1:7" x14ac:dyDescent="0.2">
      <c r="A99" s="10" t="s">
        <v>14</v>
      </c>
      <c r="B99" s="11">
        <v>42.2</v>
      </c>
      <c r="C99" s="10">
        <v>92.45</v>
      </c>
      <c r="D99" s="10">
        <v>75.47</v>
      </c>
      <c r="E99" s="11">
        <v>16.98</v>
      </c>
      <c r="F99" s="13">
        <v>2.2210648148148149E-2</v>
      </c>
      <c r="G99" s="10">
        <v>14</v>
      </c>
    </row>
    <row r="100" spans="1:7" x14ac:dyDescent="0.2">
      <c r="A100" s="7" t="s">
        <v>53</v>
      </c>
      <c r="B100" s="8">
        <v>22.4</v>
      </c>
      <c r="C100" s="7">
        <v>66.67</v>
      </c>
      <c r="D100" s="7">
        <v>48.72</v>
      </c>
      <c r="E100" s="8">
        <v>17.95</v>
      </c>
      <c r="F100" s="12">
        <v>1.8151041666666666E-2</v>
      </c>
      <c r="G100" s="7">
        <v>31</v>
      </c>
    </row>
    <row r="101" spans="1:7" x14ac:dyDescent="0.2">
      <c r="A101" s="10" t="s">
        <v>74</v>
      </c>
      <c r="B101" s="11">
        <v>21.1</v>
      </c>
      <c r="C101" s="10">
        <v>77.78</v>
      </c>
      <c r="D101" s="10">
        <v>58.33</v>
      </c>
      <c r="E101" s="11">
        <v>19.440000000000001</v>
      </c>
      <c r="F101" s="13">
        <v>2.1279398148148148E-2</v>
      </c>
      <c r="G101" s="10">
        <v>26</v>
      </c>
    </row>
    <row r="102" spans="1:7" x14ac:dyDescent="0.2">
      <c r="A102" s="7" t="s">
        <v>140</v>
      </c>
      <c r="B102" s="8">
        <v>33.1</v>
      </c>
      <c r="C102" s="7">
        <v>78.569999999999993</v>
      </c>
      <c r="D102" s="7">
        <v>58.93</v>
      </c>
      <c r="E102" s="8">
        <v>19.64</v>
      </c>
      <c r="F102" s="12">
        <v>1.882384259259259E-2</v>
      </c>
      <c r="G102" s="7">
        <v>33</v>
      </c>
    </row>
    <row r="103" spans="1:7" x14ac:dyDescent="0.2">
      <c r="A103" s="10" t="s">
        <v>56</v>
      </c>
      <c r="B103" s="11">
        <v>20.2</v>
      </c>
      <c r="C103" s="10">
        <v>74.42</v>
      </c>
      <c r="D103" s="10">
        <v>46.51</v>
      </c>
      <c r="E103" s="11">
        <v>27.91</v>
      </c>
      <c r="F103" s="13">
        <v>2.0834259259259261E-2</v>
      </c>
      <c r="G103" s="10">
        <v>26</v>
      </c>
    </row>
    <row r="104" spans="1:7" x14ac:dyDescent="0.2">
      <c r="A104" s="7" t="s">
        <v>0</v>
      </c>
      <c r="B104" s="8">
        <v>27.1</v>
      </c>
      <c r="C104" s="7">
        <v>77.78</v>
      </c>
      <c r="D104" s="7">
        <v>55.56</v>
      </c>
      <c r="E104" s="8">
        <v>22.22</v>
      </c>
      <c r="F104" s="12">
        <v>2.3438425925925929E-2</v>
      </c>
      <c r="G104" s="7">
        <v>18</v>
      </c>
    </row>
    <row r="105" spans="1:7" x14ac:dyDescent="0.2">
      <c r="A105" s="10" t="s">
        <v>31</v>
      </c>
      <c r="B105" s="11">
        <v>23.1</v>
      </c>
      <c r="C105" s="10">
        <v>75.44</v>
      </c>
      <c r="D105" s="10">
        <v>61.4</v>
      </c>
      <c r="E105" s="11">
        <v>14.04</v>
      </c>
      <c r="F105" s="13">
        <v>2.0561342592592593E-2</v>
      </c>
      <c r="G105" s="10">
        <v>26</v>
      </c>
    </row>
    <row r="106" spans="1:7" x14ac:dyDescent="0.2">
      <c r="A106" s="7" t="s">
        <v>62</v>
      </c>
      <c r="B106" s="8">
        <v>17.3</v>
      </c>
      <c r="C106" s="7">
        <v>74.069999999999993</v>
      </c>
      <c r="D106" s="7">
        <v>59.26</v>
      </c>
      <c r="E106" s="8">
        <v>14.81</v>
      </c>
      <c r="F106" s="12">
        <v>2.1220138888888889E-2</v>
      </c>
      <c r="G106" s="7">
        <v>17</v>
      </c>
    </row>
    <row r="107" spans="1:7" x14ac:dyDescent="0.2">
      <c r="A107" s="10" t="s">
        <v>26</v>
      </c>
      <c r="B107" s="11">
        <v>35.799999999999997</v>
      </c>
      <c r="C107" s="10">
        <v>80.39</v>
      </c>
      <c r="D107" s="10">
        <v>60.78</v>
      </c>
      <c r="E107" s="11">
        <v>19.61</v>
      </c>
      <c r="F107" s="13">
        <v>2.2368865740740738E-2</v>
      </c>
      <c r="G107" s="10">
        <v>18</v>
      </c>
    </row>
    <row r="108" spans="1:7" x14ac:dyDescent="0.2">
      <c r="A108" s="7" t="s">
        <v>57</v>
      </c>
      <c r="B108" s="8">
        <v>25</v>
      </c>
      <c r="C108" s="7">
        <v>80.95</v>
      </c>
      <c r="D108" s="7">
        <v>52.38</v>
      </c>
      <c r="E108" s="8">
        <v>28.57</v>
      </c>
      <c r="F108" s="12">
        <v>2.0365972222222223E-2</v>
      </c>
      <c r="G108" s="7">
        <v>23</v>
      </c>
    </row>
    <row r="109" spans="1:7" x14ac:dyDescent="0.2">
      <c r="A109" s="10" t="s">
        <v>44</v>
      </c>
      <c r="B109" s="11">
        <v>33.6</v>
      </c>
      <c r="C109" s="10">
        <v>86.67</v>
      </c>
      <c r="D109" s="10">
        <v>77.78</v>
      </c>
      <c r="E109" s="11">
        <v>8.89</v>
      </c>
      <c r="F109" s="13">
        <v>1.9837037037037038E-2</v>
      </c>
      <c r="G109" s="10">
        <v>24</v>
      </c>
    </row>
    <row r="110" spans="1:7" x14ac:dyDescent="0.2">
      <c r="A110" s="7" t="s">
        <v>128</v>
      </c>
      <c r="B110" s="8">
        <v>26.6</v>
      </c>
      <c r="C110" s="7">
        <v>69.77</v>
      </c>
      <c r="D110" s="7">
        <v>51.16</v>
      </c>
      <c r="E110" s="8">
        <v>18.600000000000001</v>
      </c>
      <c r="F110" s="12">
        <v>2.119212962962963E-2</v>
      </c>
      <c r="G110" s="7">
        <v>27</v>
      </c>
    </row>
    <row r="111" spans="1:7" x14ac:dyDescent="0.2">
      <c r="A111" s="10" t="s">
        <v>92</v>
      </c>
      <c r="B111" s="11">
        <v>26.7</v>
      </c>
      <c r="C111" s="10">
        <v>76.739999999999995</v>
      </c>
      <c r="D111" s="10">
        <v>58.14</v>
      </c>
      <c r="E111" s="11">
        <v>18.600000000000001</v>
      </c>
      <c r="F111" s="13">
        <v>2.0753240740740742E-2</v>
      </c>
      <c r="G111" s="10">
        <v>28</v>
      </c>
    </row>
    <row r="112" spans="1:7" x14ac:dyDescent="0.2">
      <c r="A112" s="7" t="s">
        <v>100</v>
      </c>
      <c r="B112" s="8">
        <v>23.2</v>
      </c>
      <c r="C112" s="7">
        <v>76.09</v>
      </c>
      <c r="D112" s="7">
        <v>50</v>
      </c>
      <c r="E112" s="8">
        <v>26.09</v>
      </c>
      <c r="F112" s="12">
        <v>2.1383564814814817E-2</v>
      </c>
      <c r="G112" s="7">
        <v>28</v>
      </c>
    </row>
    <row r="113" spans="1:7" x14ac:dyDescent="0.2">
      <c r="A113" s="10" t="s">
        <v>64</v>
      </c>
      <c r="B113" s="11">
        <v>27.9</v>
      </c>
      <c r="C113" s="10">
        <v>74.290000000000006</v>
      </c>
      <c r="D113" s="10">
        <v>50</v>
      </c>
      <c r="E113" s="11">
        <v>24.29</v>
      </c>
      <c r="F113" s="13">
        <v>2.3688773148148153E-2</v>
      </c>
      <c r="G113" s="10">
        <v>18</v>
      </c>
    </row>
    <row r="114" spans="1:7" x14ac:dyDescent="0.2">
      <c r="A114" s="7" t="s">
        <v>32</v>
      </c>
      <c r="B114" s="8">
        <v>26</v>
      </c>
      <c r="C114" s="7">
        <v>82.69</v>
      </c>
      <c r="D114" s="7">
        <v>53.85</v>
      </c>
      <c r="E114" s="8">
        <v>28.85</v>
      </c>
      <c r="F114" s="12">
        <v>2.1015856481481479E-2</v>
      </c>
      <c r="G114" s="7">
        <v>12</v>
      </c>
    </row>
    <row r="115" spans="1:7" x14ac:dyDescent="0.2">
      <c r="A115" s="10" t="s">
        <v>17</v>
      </c>
      <c r="B115" s="11">
        <v>33.4</v>
      </c>
      <c r="C115" s="10">
        <v>88.46</v>
      </c>
      <c r="D115" s="10">
        <v>80.77</v>
      </c>
      <c r="E115" s="11">
        <v>7.69</v>
      </c>
      <c r="F115" s="13">
        <v>2.0735416666666669E-2</v>
      </c>
      <c r="G115" s="10">
        <v>22</v>
      </c>
    </row>
    <row r="116" spans="1:7" x14ac:dyDescent="0.2">
      <c r="A116" s="7" t="s">
        <v>41</v>
      </c>
      <c r="B116" s="8">
        <v>29.8</v>
      </c>
      <c r="C116" s="7">
        <v>85.37</v>
      </c>
      <c r="D116" s="7">
        <v>63.41</v>
      </c>
      <c r="E116" s="8">
        <v>21.95</v>
      </c>
      <c r="F116" s="12">
        <v>2.0818865740740742E-2</v>
      </c>
      <c r="G116" s="7">
        <v>21</v>
      </c>
    </row>
    <row r="117" spans="1:7" x14ac:dyDescent="0.2">
      <c r="A117" s="10" t="s">
        <v>20</v>
      </c>
      <c r="B117" s="11">
        <v>37.6</v>
      </c>
      <c r="C117" s="10">
        <v>88.52</v>
      </c>
      <c r="D117" s="10">
        <v>67.209999999999994</v>
      </c>
      <c r="E117" s="11">
        <v>21.31</v>
      </c>
      <c r="F117" s="13">
        <v>1.9675925925925927E-2</v>
      </c>
      <c r="G117" s="10">
        <v>22</v>
      </c>
    </row>
    <row r="118" spans="1:7" x14ac:dyDescent="0.2">
      <c r="A118" s="7" t="s">
        <v>80</v>
      </c>
      <c r="B118" s="8">
        <v>22.9</v>
      </c>
      <c r="C118" s="7">
        <v>68.75</v>
      </c>
      <c r="D118" s="7">
        <v>62.5</v>
      </c>
      <c r="E118" s="8">
        <v>6.25</v>
      </c>
      <c r="F118" s="12">
        <v>2.4398148148148145E-2</v>
      </c>
      <c r="G118" s="7">
        <v>23</v>
      </c>
    </row>
    <row r="119" spans="1:7" x14ac:dyDescent="0.2">
      <c r="A119" s="10" t="s">
        <v>29</v>
      </c>
      <c r="B119" s="11">
        <v>35.299999999999997</v>
      </c>
      <c r="C119" s="10">
        <v>87.1</v>
      </c>
      <c r="D119" s="10">
        <v>69.349999999999994</v>
      </c>
      <c r="E119" s="11">
        <v>17.739999999999998</v>
      </c>
      <c r="F119" s="13">
        <v>1.9124768518518517E-2</v>
      </c>
      <c r="G119" s="10">
        <v>34</v>
      </c>
    </row>
    <row r="120" spans="1:7" x14ac:dyDescent="0.2">
      <c r="A120" s="7" t="s">
        <v>25</v>
      </c>
      <c r="B120" s="8">
        <v>44.1</v>
      </c>
      <c r="C120" s="7">
        <v>94.67</v>
      </c>
      <c r="D120" s="7">
        <v>85.33</v>
      </c>
      <c r="E120" s="8">
        <v>9.33</v>
      </c>
      <c r="F120" s="12">
        <v>2.2380092592592594E-2</v>
      </c>
      <c r="G120" s="7">
        <v>10</v>
      </c>
    </row>
    <row r="121" spans="1:7" x14ac:dyDescent="0.2">
      <c r="A121" s="10" t="s">
        <v>106</v>
      </c>
      <c r="B121" s="11">
        <v>26.1</v>
      </c>
      <c r="C121" s="10">
        <v>80</v>
      </c>
      <c r="D121" s="10">
        <v>66.67</v>
      </c>
      <c r="E121" s="11">
        <v>13.33</v>
      </c>
      <c r="F121" s="13">
        <v>2.0134490740740741E-2</v>
      </c>
      <c r="G121" s="10">
        <v>19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Q121"/>
  <sheetViews>
    <sheetView workbookViewId="0">
      <selection activeCell="Q26" sqref="I2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9.1640625" bestFit="1" customWidth="1"/>
    <col min="11" max="11" width="4.5" bestFit="1" customWidth="1"/>
    <col min="12" max="12" width="7.83203125" bestFit="1" customWidth="1"/>
    <col min="13" max="13" width="8.5" bestFit="1" customWidth="1"/>
    <col min="14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30.8</v>
      </c>
      <c r="C2" s="7">
        <v>82</v>
      </c>
      <c r="D2" s="7">
        <v>72</v>
      </c>
      <c r="E2" s="8">
        <v>10</v>
      </c>
      <c r="F2" s="12">
        <v>2.1181481481481482E-2</v>
      </c>
      <c r="G2" s="7">
        <v>17</v>
      </c>
      <c r="I2">
        <v>1</v>
      </c>
      <c r="J2" t="s">
        <v>19</v>
      </c>
      <c r="K2">
        <f>VLOOKUP($J2,Offense2010[],2)</f>
        <v>41.2</v>
      </c>
      <c r="L2">
        <f>VLOOKUP($J2,Offense2010[],3)</f>
        <v>86.36</v>
      </c>
      <c r="M2">
        <f>VLOOKUP($J2,Offense2010[],4)</f>
        <v>66.67</v>
      </c>
      <c r="N2">
        <f>VLOOKUP($J2,Offense2010[],5)</f>
        <v>19.7</v>
      </c>
      <c r="O2" s="1">
        <f>VLOOKUP($J2,Offense2010[],6)</f>
        <v>2.0346412037037038E-2</v>
      </c>
      <c r="P2">
        <f>VLOOKUP($J2,Offense2010[],7)</f>
        <v>17</v>
      </c>
      <c r="Q2">
        <v>2010</v>
      </c>
    </row>
    <row r="3" spans="1:17" x14ac:dyDescent="0.2">
      <c r="A3" s="10" t="s">
        <v>103</v>
      </c>
      <c r="B3" s="11">
        <v>15.6</v>
      </c>
      <c r="C3" s="10">
        <v>76.92</v>
      </c>
      <c r="D3" s="10">
        <v>57.69</v>
      </c>
      <c r="E3" s="11">
        <v>19.23</v>
      </c>
      <c r="F3" s="13">
        <v>1.9874652777777776E-2</v>
      </c>
      <c r="G3" s="10">
        <v>22</v>
      </c>
      <c r="I3">
        <v>2</v>
      </c>
      <c r="J3" t="s">
        <v>27</v>
      </c>
      <c r="K3">
        <f>VLOOKUP($J3,Offense2010[],2)</f>
        <v>41.6</v>
      </c>
      <c r="L3">
        <f>VLOOKUP($J3,Offense2010[],3)</f>
        <v>88.41</v>
      </c>
      <c r="M3">
        <f>VLOOKUP($J3,Offense2010[],4)</f>
        <v>73.91</v>
      </c>
      <c r="N3">
        <f>VLOOKUP($J3,Offense2010[],5)</f>
        <v>14.49</v>
      </c>
      <c r="O3" s="1">
        <f>VLOOKUP($J3,Offense2010[],6)</f>
        <v>2.3412615740740741E-2</v>
      </c>
      <c r="P3">
        <f>VLOOKUP($J3,Offense2010[],7)</f>
        <v>13</v>
      </c>
      <c r="Q3">
        <v>2010</v>
      </c>
    </row>
    <row r="4" spans="1:17" x14ac:dyDescent="0.2">
      <c r="A4" s="7" t="s">
        <v>11</v>
      </c>
      <c r="B4" s="8">
        <v>35.700000000000003</v>
      </c>
      <c r="C4" s="7">
        <v>84.21</v>
      </c>
      <c r="D4" s="7">
        <v>63.16</v>
      </c>
      <c r="E4" s="8">
        <v>21.05</v>
      </c>
      <c r="F4" s="12">
        <v>2.1366666666666669E-2</v>
      </c>
      <c r="G4" s="7">
        <v>15</v>
      </c>
      <c r="I4">
        <v>3</v>
      </c>
      <c r="J4" t="s">
        <v>18</v>
      </c>
      <c r="K4">
        <f>VLOOKUP($J4,Offense2010[],2)</f>
        <v>47</v>
      </c>
      <c r="L4">
        <f>VLOOKUP($J4,Offense2010[],3)</f>
        <v>82.35</v>
      </c>
      <c r="M4">
        <f>VLOOKUP($J4,Offense2010[],4)</f>
        <v>64.709999999999994</v>
      </c>
      <c r="N4">
        <f>VLOOKUP($J4,Offense2010[],5)</f>
        <v>17.649999999999999</v>
      </c>
      <c r="O4" s="1">
        <f>VLOOKUP($J4,Offense2010[],6)</f>
        <v>1.9376736111111112E-2</v>
      </c>
      <c r="P4">
        <f>VLOOKUP($J4,Offense2010[],7)</f>
        <v>24</v>
      </c>
      <c r="Q4">
        <v>2010</v>
      </c>
    </row>
    <row r="5" spans="1:17" x14ac:dyDescent="0.2">
      <c r="A5" s="10" t="s">
        <v>5</v>
      </c>
      <c r="B5" s="11">
        <v>28.2</v>
      </c>
      <c r="C5" s="10">
        <v>72.22</v>
      </c>
      <c r="D5" s="10">
        <v>55.56</v>
      </c>
      <c r="E5" s="11">
        <v>16.670000000000002</v>
      </c>
      <c r="F5" s="13">
        <v>2.1327430555555554E-2</v>
      </c>
      <c r="G5" s="10">
        <v>22</v>
      </c>
      <c r="I5">
        <v>4</v>
      </c>
      <c r="J5" t="s">
        <v>37</v>
      </c>
      <c r="K5">
        <f>VLOOKUP($J5,Offense2010[],2)</f>
        <v>40.299999999999997</v>
      </c>
      <c r="L5">
        <f>VLOOKUP($J5,Offense2010[],3)</f>
        <v>88.57</v>
      </c>
      <c r="M5">
        <f>VLOOKUP($J5,Offense2010[],4)</f>
        <v>68.569999999999993</v>
      </c>
      <c r="N5">
        <f>VLOOKUP($J5,Offense2010[],5)</f>
        <v>20</v>
      </c>
      <c r="O5" s="1">
        <f>VLOOKUP($J5,Offense2010[],6)</f>
        <v>2.400023148148148E-2</v>
      </c>
      <c r="P5">
        <f>VLOOKUP($J5,Offense2010[],7)</f>
        <v>17</v>
      </c>
      <c r="Q5">
        <v>2010</v>
      </c>
    </row>
    <row r="6" spans="1:17" x14ac:dyDescent="0.2">
      <c r="A6" s="7" t="s">
        <v>38</v>
      </c>
      <c r="B6" s="8">
        <v>32.299999999999997</v>
      </c>
      <c r="C6" s="7">
        <v>77.19</v>
      </c>
      <c r="D6" s="7">
        <v>54.39</v>
      </c>
      <c r="E6" s="8">
        <v>22.81</v>
      </c>
      <c r="F6" s="12">
        <v>1.8958333333333334E-2</v>
      </c>
      <c r="G6" s="7">
        <v>23</v>
      </c>
      <c r="I6">
        <v>5</v>
      </c>
      <c r="J6" t="s">
        <v>4</v>
      </c>
      <c r="K6">
        <f>VLOOKUP($J6,Offense2010[],2)</f>
        <v>38.799999999999997</v>
      </c>
      <c r="L6">
        <f>VLOOKUP($J6,Offense2010[],3)</f>
        <v>87.69</v>
      </c>
      <c r="M6">
        <f>VLOOKUP($J6,Offense2010[],4)</f>
        <v>63.08</v>
      </c>
      <c r="N6">
        <f>VLOOKUP($J6,Offense2010[],5)</f>
        <v>24.62</v>
      </c>
      <c r="O6" s="1">
        <f>VLOOKUP($J6,Offense2010[],6)</f>
        <v>2.2345949074074074E-2</v>
      </c>
      <c r="P6">
        <f>VLOOKUP($J6,Offense2010[],7)</f>
        <v>15</v>
      </c>
      <c r="Q6">
        <v>2010</v>
      </c>
    </row>
    <row r="7" spans="1:17" x14ac:dyDescent="0.2">
      <c r="A7" s="10" t="s">
        <v>63</v>
      </c>
      <c r="B7" s="11">
        <v>36.5</v>
      </c>
      <c r="C7" s="10">
        <v>89.8</v>
      </c>
      <c r="D7" s="10">
        <v>69.39</v>
      </c>
      <c r="E7" s="11">
        <v>20.41</v>
      </c>
      <c r="F7" s="13">
        <v>2.0890277777777775E-2</v>
      </c>
      <c r="G7" s="10">
        <v>24</v>
      </c>
      <c r="I7">
        <v>6</v>
      </c>
      <c r="J7" t="s">
        <v>3</v>
      </c>
      <c r="K7">
        <f>VLOOKUP($J7,Offense2010[],2)</f>
        <v>37.200000000000003</v>
      </c>
      <c r="L7">
        <f>VLOOKUP($J7,Offense2010[],3)</f>
        <v>81.819999999999993</v>
      </c>
      <c r="M7">
        <f>VLOOKUP($J7,Offense2010[],4)</f>
        <v>57.14</v>
      </c>
      <c r="N7">
        <f>VLOOKUP($J7,Offense2010[],5)</f>
        <v>24.68</v>
      </c>
      <c r="O7" s="1">
        <f>VLOOKUP($J7,Offense2010[],6)</f>
        <v>2.1037500000000001E-2</v>
      </c>
      <c r="P7">
        <f>VLOOKUP($J7,Offense2010[],7)</f>
        <v>18</v>
      </c>
      <c r="Q7">
        <v>2010</v>
      </c>
    </row>
    <row r="8" spans="1:17" x14ac:dyDescent="0.2">
      <c r="A8" s="7" t="s">
        <v>8</v>
      </c>
      <c r="B8" s="8">
        <v>30</v>
      </c>
      <c r="C8" s="7">
        <v>86.27</v>
      </c>
      <c r="D8" s="7">
        <v>66.67</v>
      </c>
      <c r="E8" s="8">
        <v>19.61</v>
      </c>
      <c r="F8" s="12">
        <v>1.8710416666666667E-2</v>
      </c>
      <c r="G8" s="7">
        <v>24</v>
      </c>
      <c r="I8">
        <v>7</v>
      </c>
      <c r="J8" t="s">
        <v>25</v>
      </c>
      <c r="K8">
        <f>VLOOKUP($J8,Offense2010[],2)</f>
        <v>41.5</v>
      </c>
      <c r="L8">
        <f>VLOOKUP($J8,Offense2010[],3)</f>
        <v>91.18</v>
      </c>
      <c r="M8">
        <f>VLOOKUP($J8,Offense2010[],4)</f>
        <v>79.41</v>
      </c>
      <c r="N8">
        <f>VLOOKUP($J8,Offense2010[],5)</f>
        <v>11.76</v>
      </c>
      <c r="O8" s="1">
        <f>VLOOKUP($J8,Offense2010[],6)</f>
        <v>2.2884606481481481E-2</v>
      </c>
      <c r="P8">
        <f>VLOOKUP($J8,Offense2010[],7)</f>
        <v>9</v>
      </c>
      <c r="Q8">
        <v>2010</v>
      </c>
    </row>
    <row r="9" spans="1:17" x14ac:dyDescent="0.2">
      <c r="A9" s="10" t="s">
        <v>42</v>
      </c>
      <c r="B9" s="11">
        <v>26.6</v>
      </c>
      <c r="C9" s="10">
        <v>86.54</v>
      </c>
      <c r="D9" s="10">
        <v>69.23</v>
      </c>
      <c r="E9" s="11">
        <v>17.309999999999999</v>
      </c>
      <c r="F9" s="13">
        <v>2.308854166666667E-2</v>
      </c>
      <c r="G9" s="10">
        <v>14</v>
      </c>
      <c r="I9">
        <v>8</v>
      </c>
      <c r="J9" t="s">
        <v>70</v>
      </c>
      <c r="K9">
        <f>VLOOKUP($J9,Offense2010[],2)</f>
        <v>29.7</v>
      </c>
      <c r="L9">
        <f>VLOOKUP($J9,Offense2010[],3)</f>
        <v>86.27</v>
      </c>
      <c r="M9">
        <f>VLOOKUP($J9,Offense2010[],4)</f>
        <v>52.94</v>
      </c>
      <c r="N9">
        <f>VLOOKUP($J9,Offense2010[],5)</f>
        <v>33.33</v>
      </c>
      <c r="O9" s="1">
        <f>VLOOKUP($J9,Offense2010[],6)</f>
        <v>2.0950810185185183E-2</v>
      </c>
      <c r="P9">
        <f>VLOOKUP($J9,Offense2010[],7)</f>
        <v>24</v>
      </c>
      <c r="Q9">
        <v>2010</v>
      </c>
    </row>
    <row r="10" spans="1:17" x14ac:dyDescent="0.2">
      <c r="A10" s="7" t="s">
        <v>19</v>
      </c>
      <c r="B10" s="8">
        <v>41.2</v>
      </c>
      <c r="C10" s="7">
        <v>86.36</v>
      </c>
      <c r="D10" s="7">
        <v>66.67</v>
      </c>
      <c r="E10" s="8">
        <v>19.7</v>
      </c>
      <c r="F10" s="12">
        <v>2.0346412037037038E-2</v>
      </c>
      <c r="G10" s="7">
        <v>17</v>
      </c>
      <c r="I10">
        <v>9</v>
      </c>
      <c r="J10" t="s">
        <v>33</v>
      </c>
      <c r="K10">
        <f>VLOOKUP($J10,Offense2010[],2)</f>
        <v>45.1</v>
      </c>
      <c r="L10">
        <f>VLOOKUP($J10,Offense2010[],3)</f>
        <v>84.06</v>
      </c>
      <c r="M10">
        <f>VLOOKUP($J10,Offense2010[],4)</f>
        <v>68.12</v>
      </c>
      <c r="N10">
        <f>VLOOKUP($J10,Offense2010[],5)</f>
        <v>15.94</v>
      </c>
      <c r="O10" s="1">
        <f>VLOOKUP($J10,Offense2010[],6)</f>
        <v>2.1270486111111112E-2</v>
      </c>
      <c r="P10">
        <f>VLOOKUP($J10,Offense2010[],7)</f>
        <v>19</v>
      </c>
      <c r="Q10">
        <v>2010</v>
      </c>
    </row>
    <row r="11" spans="1:17" x14ac:dyDescent="0.2">
      <c r="A11" s="10" t="s">
        <v>120</v>
      </c>
      <c r="B11" s="11">
        <v>22</v>
      </c>
      <c r="C11" s="10">
        <v>78.38</v>
      </c>
      <c r="D11" s="10">
        <v>48.65</v>
      </c>
      <c r="E11" s="11">
        <v>29.73</v>
      </c>
      <c r="F11" s="13">
        <v>2.072337962962963E-2</v>
      </c>
      <c r="G11" s="10">
        <v>31</v>
      </c>
      <c r="I11">
        <v>10</v>
      </c>
      <c r="J11" t="s">
        <v>11</v>
      </c>
      <c r="K11">
        <f>VLOOKUP($J11,Offense2010[],2)</f>
        <v>35.700000000000003</v>
      </c>
      <c r="L11">
        <f>VLOOKUP($J11,Offense2010[],3)</f>
        <v>84.21</v>
      </c>
      <c r="M11">
        <f>VLOOKUP($J11,Offense2010[],4)</f>
        <v>63.16</v>
      </c>
      <c r="N11">
        <f>VLOOKUP($J11,Offense2010[],5)</f>
        <v>21.05</v>
      </c>
      <c r="O11" s="1">
        <f>VLOOKUP($J11,Offense2010[],6)</f>
        <v>2.1366666666666669E-2</v>
      </c>
      <c r="P11">
        <f>VLOOKUP($J11,Offense2010[],7)</f>
        <v>15</v>
      </c>
      <c r="Q11">
        <v>2010</v>
      </c>
    </row>
    <row r="12" spans="1:17" x14ac:dyDescent="0.2">
      <c r="A12" s="7" t="s">
        <v>94</v>
      </c>
      <c r="B12" s="8">
        <v>31.2</v>
      </c>
      <c r="C12" s="7">
        <v>76.599999999999994</v>
      </c>
      <c r="D12" s="7">
        <v>48.94</v>
      </c>
      <c r="E12" s="8">
        <v>27.66</v>
      </c>
      <c r="F12" s="12">
        <v>2.0190509259259259E-2</v>
      </c>
      <c r="G12" s="7">
        <v>20</v>
      </c>
      <c r="I12">
        <v>11</v>
      </c>
      <c r="J12" t="s">
        <v>69</v>
      </c>
      <c r="K12">
        <f>VLOOKUP($J12,Offense2010[],2)</f>
        <v>41</v>
      </c>
      <c r="L12">
        <f>VLOOKUP($J12,Offense2010[],3)</f>
        <v>81.33</v>
      </c>
      <c r="M12">
        <f>VLOOKUP($J12,Offense2010[],4)</f>
        <v>66.67</v>
      </c>
      <c r="N12">
        <f>VLOOKUP($J12,Offense2010[],5)</f>
        <v>14.67</v>
      </c>
      <c r="O12" s="1">
        <f>VLOOKUP($J12,Offense2010[],6)</f>
        <v>2.3831828703703702E-2</v>
      </c>
      <c r="P12">
        <f>VLOOKUP($J12,Offense2010[],7)</f>
        <v>19</v>
      </c>
      <c r="Q12">
        <v>2010</v>
      </c>
    </row>
    <row r="13" spans="1:17" x14ac:dyDescent="0.2">
      <c r="A13" s="10" t="s">
        <v>33</v>
      </c>
      <c r="B13" s="11">
        <v>45.1</v>
      </c>
      <c r="C13" s="10">
        <v>84.06</v>
      </c>
      <c r="D13" s="10">
        <v>68.12</v>
      </c>
      <c r="E13" s="11">
        <v>15.94</v>
      </c>
      <c r="F13" s="13">
        <v>2.1270486111111112E-2</v>
      </c>
      <c r="G13" s="10">
        <v>19</v>
      </c>
      <c r="I13">
        <v>12</v>
      </c>
      <c r="J13" t="s">
        <v>63</v>
      </c>
      <c r="K13">
        <f>VLOOKUP($J13,Offense2010[],2)</f>
        <v>36.5</v>
      </c>
      <c r="L13">
        <f>VLOOKUP($J13,Offense2010[],3)</f>
        <v>89.8</v>
      </c>
      <c r="M13">
        <f>VLOOKUP($J13,Offense2010[],4)</f>
        <v>69.39</v>
      </c>
      <c r="N13">
        <f>VLOOKUP($J13,Offense2010[],5)</f>
        <v>20.41</v>
      </c>
      <c r="O13" s="1">
        <f>VLOOKUP($J13,Offense2010[],6)</f>
        <v>2.0890277777777775E-2</v>
      </c>
      <c r="P13">
        <f>VLOOKUP($J13,Offense2010[],7)</f>
        <v>24</v>
      </c>
      <c r="Q13">
        <v>2010</v>
      </c>
    </row>
    <row r="14" spans="1:17" x14ac:dyDescent="0.2">
      <c r="A14" s="7" t="s">
        <v>79</v>
      </c>
      <c r="B14" s="8">
        <v>18.5</v>
      </c>
      <c r="C14" s="7">
        <v>80.489999999999995</v>
      </c>
      <c r="D14" s="7">
        <v>31.71</v>
      </c>
      <c r="E14" s="8">
        <v>48.78</v>
      </c>
      <c r="F14" s="12">
        <v>2.0111342592592594E-2</v>
      </c>
      <c r="G14" s="7">
        <v>25</v>
      </c>
      <c r="I14">
        <v>13</v>
      </c>
      <c r="J14" t="s">
        <v>2</v>
      </c>
      <c r="K14">
        <f>VLOOKUP($J14,Offense2010[],2)</f>
        <v>44.2</v>
      </c>
      <c r="L14">
        <f>VLOOKUP($J14,Offense2010[],3)</f>
        <v>95.08</v>
      </c>
      <c r="M14">
        <f>VLOOKUP($J14,Offense2010[],4)</f>
        <v>67.209999999999994</v>
      </c>
      <c r="N14">
        <f>VLOOKUP($J14,Offense2010[],5)</f>
        <v>27.87</v>
      </c>
      <c r="O14" s="1">
        <f>VLOOKUP($J14,Offense2010[],6)</f>
        <v>1.9225462962962962E-2</v>
      </c>
      <c r="P14">
        <f>VLOOKUP($J14,Offense2010[],7)</f>
        <v>22</v>
      </c>
      <c r="Q14">
        <v>2010</v>
      </c>
    </row>
    <row r="15" spans="1:17" x14ac:dyDescent="0.2">
      <c r="A15" s="10" t="s">
        <v>87</v>
      </c>
      <c r="B15" s="11">
        <v>21.3</v>
      </c>
      <c r="C15" s="10">
        <v>77.14</v>
      </c>
      <c r="D15" s="10">
        <v>62.86</v>
      </c>
      <c r="E15" s="11">
        <v>14.29</v>
      </c>
      <c r="F15" s="13">
        <v>2.0607638888888887E-2</v>
      </c>
      <c r="G15" s="10">
        <v>31</v>
      </c>
      <c r="I15">
        <v>14</v>
      </c>
      <c r="J15" t="s">
        <v>104</v>
      </c>
      <c r="K15">
        <f>VLOOKUP($J15,Offense2010[],2)</f>
        <v>29.5</v>
      </c>
      <c r="L15">
        <f>VLOOKUP($J15,Offense2010[],3)</f>
        <v>87.23</v>
      </c>
      <c r="M15">
        <f>VLOOKUP($J15,Offense2010[],4)</f>
        <v>68.09</v>
      </c>
      <c r="N15">
        <f>VLOOKUP($J15,Offense2010[],5)</f>
        <v>19.149999999999999</v>
      </c>
      <c r="O15" s="1">
        <f>VLOOKUP($J15,Offense2010[],6)</f>
        <v>2.1186805555555552E-2</v>
      </c>
      <c r="P15">
        <f>VLOOKUP($J15,Offense2010[],7)</f>
        <v>19</v>
      </c>
      <c r="Q15">
        <v>2010</v>
      </c>
    </row>
    <row r="16" spans="1:17" x14ac:dyDescent="0.2">
      <c r="A16" s="7" t="s">
        <v>66</v>
      </c>
      <c r="B16" s="8">
        <v>14.2</v>
      </c>
      <c r="C16" s="7">
        <v>65.52</v>
      </c>
      <c r="D16" s="7">
        <v>48.28</v>
      </c>
      <c r="E16" s="8">
        <v>17.239999999999998</v>
      </c>
      <c r="F16" s="12">
        <v>1.9080787037037038E-2</v>
      </c>
      <c r="G16" s="7">
        <v>33</v>
      </c>
      <c r="I16">
        <v>15</v>
      </c>
      <c r="J16" t="s">
        <v>35</v>
      </c>
      <c r="K16">
        <f>VLOOKUP($J16,Offense2010[],2)</f>
        <v>29</v>
      </c>
      <c r="L16">
        <f>VLOOKUP($J16,Offense2010[],3)</f>
        <v>79.59</v>
      </c>
      <c r="M16">
        <f>VLOOKUP($J16,Offense2010[],4)</f>
        <v>65.31</v>
      </c>
      <c r="N16">
        <f>VLOOKUP($J16,Offense2010[],5)</f>
        <v>14.29</v>
      </c>
      <c r="O16" s="1">
        <f>VLOOKUP($J16,Offense2010[],6)</f>
        <v>2.1899074074074074E-2</v>
      </c>
      <c r="P16">
        <f>VLOOKUP($J16,Offense2010[],7)</f>
        <v>21</v>
      </c>
      <c r="Q16">
        <v>2010</v>
      </c>
    </row>
    <row r="17" spans="1:17" x14ac:dyDescent="0.2">
      <c r="A17" s="10" t="s">
        <v>122</v>
      </c>
      <c r="B17" s="11">
        <v>26.2</v>
      </c>
      <c r="C17" s="10">
        <v>88</v>
      </c>
      <c r="D17" s="10">
        <v>62</v>
      </c>
      <c r="E17" s="11">
        <v>26</v>
      </c>
      <c r="F17" s="13">
        <v>2.1775231481481482E-2</v>
      </c>
      <c r="G17" s="10">
        <v>21</v>
      </c>
      <c r="I17">
        <v>16</v>
      </c>
      <c r="J17" t="s">
        <v>64</v>
      </c>
      <c r="K17">
        <f>VLOOKUP($J17,Offense2010[],2)</f>
        <v>33.9</v>
      </c>
      <c r="L17">
        <f>VLOOKUP($J17,Offense2010[],3)</f>
        <v>90.32</v>
      </c>
      <c r="M17">
        <f>VLOOKUP($J17,Offense2010[],4)</f>
        <v>64.52</v>
      </c>
      <c r="N17">
        <f>VLOOKUP($J17,Offense2010[],5)</f>
        <v>25.81</v>
      </c>
      <c r="O17" s="1">
        <f>VLOOKUP($J17,Offense2010[],6)</f>
        <v>2.2180092592592595E-2</v>
      </c>
      <c r="P17">
        <f>VLOOKUP($J17,Offense2010[],7)</f>
        <v>13</v>
      </c>
      <c r="Q17">
        <v>2010</v>
      </c>
    </row>
    <row r="18" spans="1:17" x14ac:dyDescent="0.2">
      <c r="A18" s="7" t="s">
        <v>72</v>
      </c>
      <c r="B18" s="8">
        <v>25.8</v>
      </c>
      <c r="C18" s="7">
        <v>89.19</v>
      </c>
      <c r="D18" s="7">
        <v>70.27</v>
      </c>
      <c r="E18" s="8">
        <v>18.920000000000002</v>
      </c>
      <c r="F18" s="12">
        <v>2.071759259259259E-2</v>
      </c>
      <c r="G18" s="7">
        <v>17</v>
      </c>
      <c r="I18">
        <v>17</v>
      </c>
      <c r="J18" t="s">
        <v>88</v>
      </c>
      <c r="K18">
        <f>VLOOKUP($J18,Offense2010[],2)</f>
        <v>31.4</v>
      </c>
      <c r="L18">
        <f>VLOOKUP($J18,Offense2010[],3)</f>
        <v>85.94</v>
      </c>
      <c r="M18">
        <f>VLOOKUP($J18,Offense2010[],4)</f>
        <v>59.38</v>
      </c>
      <c r="N18">
        <f>VLOOKUP($J18,Offense2010[],5)</f>
        <v>26.56</v>
      </c>
      <c r="O18" s="1">
        <f>VLOOKUP($J18,Offense2010[],6)</f>
        <v>2.0725810185185187E-2</v>
      </c>
      <c r="P18">
        <f>VLOOKUP($J18,Offense2010[],7)</f>
        <v>23</v>
      </c>
      <c r="Q18">
        <v>2010</v>
      </c>
    </row>
    <row r="19" spans="1:17" x14ac:dyDescent="0.2">
      <c r="A19" s="10" t="s">
        <v>54</v>
      </c>
      <c r="B19" s="11">
        <v>24.4</v>
      </c>
      <c r="C19" s="10">
        <v>76.47</v>
      </c>
      <c r="D19" s="10">
        <v>60.78</v>
      </c>
      <c r="E19" s="11">
        <v>15.69</v>
      </c>
      <c r="F19" s="13">
        <v>2.1074421296296299E-2</v>
      </c>
      <c r="G19" s="10">
        <v>29</v>
      </c>
      <c r="I19">
        <v>18</v>
      </c>
      <c r="J19" t="s">
        <v>10</v>
      </c>
      <c r="K19">
        <f>VLOOKUP($J19,Offense2010[],2)</f>
        <v>29.8</v>
      </c>
      <c r="L19">
        <f>VLOOKUP($J19,Offense2010[],3)</f>
        <v>87.04</v>
      </c>
      <c r="M19">
        <f>VLOOKUP($J19,Offense2010[],4)</f>
        <v>59.26</v>
      </c>
      <c r="N19">
        <f>VLOOKUP($J19,Offense2010[],5)</f>
        <v>27.78</v>
      </c>
      <c r="O19" s="1">
        <f>VLOOKUP($J19,Offense2010[],6)</f>
        <v>2.0233217592592594E-2</v>
      </c>
      <c r="P19">
        <f>VLOOKUP($J19,Offense2010[],7)</f>
        <v>18</v>
      </c>
      <c r="Q19">
        <v>2010</v>
      </c>
    </row>
    <row r="20" spans="1:17" x14ac:dyDescent="0.2">
      <c r="A20" s="7" t="s">
        <v>110</v>
      </c>
      <c r="B20" s="8">
        <v>27.1</v>
      </c>
      <c r="C20" s="7">
        <v>78.05</v>
      </c>
      <c r="D20" s="7">
        <v>60.98</v>
      </c>
      <c r="E20" s="8">
        <v>17.07</v>
      </c>
      <c r="F20" s="12">
        <v>1.9180208333333334E-2</v>
      </c>
      <c r="G20" s="7">
        <v>29</v>
      </c>
      <c r="I20">
        <v>19</v>
      </c>
      <c r="J20" t="s">
        <v>43</v>
      </c>
      <c r="K20">
        <f>VLOOKUP($J20,Offense2010[],2)</f>
        <v>31.2</v>
      </c>
      <c r="L20">
        <f>VLOOKUP($J20,Offense2010[],3)</f>
        <v>88.24</v>
      </c>
      <c r="M20">
        <f>VLOOKUP($J20,Offense2010[],4)</f>
        <v>64.709999999999994</v>
      </c>
      <c r="N20">
        <f>VLOOKUP($J20,Offense2010[],5)</f>
        <v>23.53</v>
      </c>
      <c r="O20" s="1">
        <f>VLOOKUP($J20,Offense2010[],6)</f>
        <v>2.0594675925925926E-2</v>
      </c>
      <c r="P20">
        <f>VLOOKUP($J20,Offense2010[],7)</f>
        <v>30</v>
      </c>
      <c r="Q20">
        <v>2010</v>
      </c>
    </row>
    <row r="21" spans="1:17" x14ac:dyDescent="0.2">
      <c r="A21" s="10" t="s">
        <v>24</v>
      </c>
      <c r="B21" s="11">
        <v>24</v>
      </c>
      <c r="C21" s="10">
        <v>73.91</v>
      </c>
      <c r="D21" s="10">
        <v>54.35</v>
      </c>
      <c r="E21" s="11">
        <v>19.57</v>
      </c>
      <c r="F21" s="13">
        <v>2.0215509259259259E-2</v>
      </c>
      <c r="G21" s="10">
        <v>23</v>
      </c>
      <c r="I21">
        <v>20</v>
      </c>
      <c r="J21" t="s">
        <v>83</v>
      </c>
      <c r="K21">
        <f>VLOOKUP($J21,Offense2010[],2)</f>
        <v>30.9</v>
      </c>
      <c r="L21">
        <f>VLOOKUP($J21,Offense2010[],3)</f>
        <v>85.37</v>
      </c>
      <c r="M21">
        <f>VLOOKUP($J21,Offense2010[],4)</f>
        <v>65.849999999999994</v>
      </c>
      <c r="N21">
        <f>VLOOKUP($J21,Offense2010[],5)</f>
        <v>19.510000000000002</v>
      </c>
      <c r="O21" s="1">
        <f>VLOOKUP($J21,Offense2010[],6)</f>
        <v>2.1717939814814815E-2</v>
      </c>
      <c r="P21">
        <f>VLOOKUP($J21,Offense2010[],7)</f>
        <v>24</v>
      </c>
      <c r="Q21">
        <v>2010</v>
      </c>
    </row>
    <row r="22" spans="1:17" x14ac:dyDescent="0.2">
      <c r="A22" s="7" t="s">
        <v>77</v>
      </c>
      <c r="B22" s="8">
        <v>24.2</v>
      </c>
      <c r="C22" s="7">
        <v>80.56</v>
      </c>
      <c r="D22" s="7">
        <v>63.89</v>
      </c>
      <c r="E22" s="8">
        <v>16.670000000000002</v>
      </c>
      <c r="F22" s="12">
        <v>2.184224537037037E-2</v>
      </c>
      <c r="G22" s="7">
        <v>19</v>
      </c>
      <c r="I22">
        <v>21</v>
      </c>
      <c r="J22" t="s">
        <v>0</v>
      </c>
      <c r="K22">
        <f>VLOOKUP($J22,Offense2010[],2)</f>
        <v>32.1</v>
      </c>
      <c r="L22">
        <f>VLOOKUP($J22,Offense2010[],3)</f>
        <v>83.33</v>
      </c>
      <c r="M22">
        <f>VLOOKUP($J22,Offense2010[],4)</f>
        <v>68.33</v>
      </c>
      <c r="N22">
        <f>VLOOKUP($J22,Offense2010[],5)</f>
        <v>15</v>
      </c>
      <c r="O22" s="1">
        <f>VLOOKUP($J22,Offense2010[],6)</f>
        <v>2.2750462962962962E-2</v>
      </c>
      <c r="P22">
        <f>VLOOKUP($J22,Offense2010[],7)</f>
        <v>19</v>
      </c>
      <c r="Q22">
        <v>2010</v>
      </c>
    </row>
    <row r="23" spans="1:17" x14ac:dyDescent="0.2">
      <c r="A23" s="10" t="s">
        <v>30</v>
      </c>
      <c r="B23" s="11">
        <v>16.5</v>
      </c>
      <c r="C23" s="10">
        <v>74.290000000000006</v>
      </c>
      <c r="D23" s="10">
        <v>34.29</v>
      </c>
      <c r="E23" s="11">
        <v>40</v>
      </c>
      <c r="F23" s="13">
        <v>2.0581597222222223E-2</v>
      </c>
      <c r="G23" s="10">
        <v>22</v>
      </c>
      <c r="I23">
        <v>22</v>
      </c>
      <c r="J23" t="s">
        <v>98</v>
      </c>
      <c r="K23">
        <f>VLOOKUP($J23,Offense2010[],2)</f>
        <v>30.9</v>
      </c>
      <c r="L23">
        <f>VLOOKUP($J23,Offense2010[],3)</f>
        <v>85.71</v>
      </c>
      <c r="M23">
        <f>VLOOKUP($J23,Offense2010[],4)</f>
        <v>67.86</v>
      </c>
      <c r="N23">
        <f>VLOOKUP($J23,Offense2010[],5)</f>
        <v>17.86</v>
      </c>
      <c r="O23" s="1">
        <f>VLOOKUP($J23,Offense2010[],6)</f>
        <v>2.1455902777777775E-2</v>
      </c>
      <c r="P23">
        <f>VLOOKUP($J23,Offense2010[],7)</f>
        <v>26</v>
      </c>
      <c r="Q23">
        <v>2010</v>
      </c>
    </row>
    <row r="24" spans="1:17" x14ac:dyDescent="0.2">
      <c r="A24" s="7" t="s">
        <v>101</v>
      </c>
      <c r="B24" s="8">
        <v>26.4</v>
      </c>
      <c r="C24" s="7">
        <v>87.76</v>
      </c>
      <c r="D24" s="7">
        <v>48.98</v>
      </c>
      <c r="E24" s="8">
        <v>38.78</v>
      </c>
      <c r="F24" s="12">
        <v>2.0057870370370368E-2</v>
      </c>
      <c r="G24" s="7">
        <v>19</v>
      </c>
      <c r="I24">
        <v>23</v>
      </c>
      <c r="J24" t="s">
        <v>97</v>
      </c>
      <c r="K24">
        <f>VLOOKUP($J24,Offense2010[],2)</f>
        <v>32.200000000000003</v>
      </c>
      <c r="L24">
        <f>VLOOKUP($J24,Offense2010[],3)</f>
        <v>85.71</v>
      </c>
      <c r="M24">
        <f>VLOOKUP($J24,Offense2010[],4)</f>
        <v>63.27</v>
      </c>
      <c r="N24">
        <f>VLOOKUP($J24,Offense2010[],5)</f>
        <v>22.45</v>
      </c>
      <c r="O24" s="1">
        <f>VLOOKUP($J24,Offense2010[],6)</f>
        <v>2.0124652777777779E-2</v>
      </c>
      <c r="P24">
        <f>VLOOKUP($J24,Offense2010[],7)</f>
        <v>14</v>
      </c>
      <c r="Q24">
        <v>2010</v>
      </c>
    </row>
    <row r="25" spans="1:17" x14ac:dyDescent="0.2">
      <c r="A25" s="10" t="s">
        <v>85</v>
      </c>
      <c r="B25" s="11">
        <v>25.3</v>
      </c>
      <c r="C25" s="10">
        <v>88.37</v>
      </c>
      <c r="D25" s="10">
        <v>51.16</v>
      </c>
      <c r="E25" s="11">
        <v>37.21</v>
      </c>
      <c r="F25" s="13">
        <v>2.0205439814814815E-2</v>
      </c>
      <c r="G25" s="10">
        <v>28</v>
      </c>
      <c r="I25">
        <v>24</v>
      </c>
      <c r="J25" t="s">
        <v>59</v>
      </c>
      <c r="K25">
        <f>VLOOKUP($J25,Offense2010[],2)</f>
        <v>41.4</v>
      </c>
      <c r="L25">
        <f>VLOOKUP($J25,Offense2010[],3)</f>
        <v>85.71</v>
      </c>
      <c r="M25">
        <f>VLOOKUP($J25,Offense2010[],4)</f>
        <v>65.709999999999994</v>
      </c>
      <c r="N25">
        <f>VLOOKUP($J25,Offense2010[],5)</f>
        <v>20</v>
      </c>
      <c r="O25" s="1">
        <f>VLOOKUP($J25,Offense2010[],6)</f>
        <v>2.1237500000000003E-2</v>
      </c>
      <c r="P25">
        <f>VLOOKUP($J25,Offense2010[],7)</f>
        <v>19</v>
      </c>
      <c r="Q25">
        <v>2010</v>
      </c>
    </row>
    <row r="26" spans="1:17" x14ac:dyDescent="0.2">
      <c r="A26" s="7" t="s">
        <v>89</v>
      </c>
      <c r="B26" s="8">
        <v>36.799999999999997</v>
      </c>
      <c r="C26" s="7">
        <v>90.48</v>
      </c>
      <c r="D26" s="7">
        <v>73.02</v>
      </c>
      <c r="E26" s="8">
        <v>17.46</v>
      </c>
      <c r="F26" s="12">
        <v>1.9519212962962964E-2</v>
      </c>
      <c r="G26" s="7">
        <v>29</v>
      </c>
      <c r="I26">
        <v>25</v>
      </c>
      <c r="J26" t="s">
        <v>46</v>
      </c>
      <c r="K26">
        <f>VLOOKUP($J26,Offense2010[],2)</f>
        <v>31.8</v>
      </c>
      <c r="L26">
        <f>VLOOKUP($J26,Offense2010[],3)</f>
        <v>76.47</v>
      </c>
      <c r="M26">
        <f>VLOOKUP($J26,Offense2010[],4)</f>
        <v>52.94</v>
      </c>
      <c r="N26">
        <f>VLOOKUP($J26,Offense2010[],5)</f>
        <v>23.53</v>
      </c>
      <c r="O26" s="1">
        <f>VLOOKUP($J26,Offense2010[],6)</f>
        <v>2.2260532407407409E-2</v>
      </c>
      <c r="P26">
        <f>VLOOKUP($J26,Offense2010[],7)</f>
        <v>22</v>
      </c>
      <c r="Q26">
        <v>2010</v>
      </c>
    </row>
    <row r="27" spans="1:17" x14ac:dyDescent="0.2">
      <c r="A27" s="10" t="s">
        <v>81</v>
      </c>
      <c r="B27" s="11">
        <v>19</v>
      </c>
      <c r="C27" s="10">
        <v>75.86</v>
      </c>
      <c r="D27" s="10">
        <v>62.07</v>
      </c>
      <c r="E27" s="11">
        <v>13.79</v>
      </c>
      <c r="F27" s="13">
        <v>2.2610879629629627E-2</v>
      </c>
      <c r="G27" s="10">
        <v>24</v>
      </c>
    </row>
    <row r="28" spans="1:17" x14ac:dyDescent="0.2">
      <c r="A28" s="7" t="s">
        <v>108</v>
      </c>
      <c r="B28" s="8">
        <v>29.8</v>
      </c>
      <c r="C28" s="7">
        <v>70.69</v>
      </c>
      <c r="D28" s="7">
        <v>60.34</v>
      </c>
      <c r="E28" s="8">
        <v>10.34</v>
      </c>
      <c r="F28" s="12">
        <v>1.9863773148148148E-2</v>
      </c>
      <c r="G28" s="7">
        <v>27</v>
      </c>
    </row>
    <row r="29" spans="1:17" x14ac:dyDescent="0.2">
      <c r="A29" s="10" t="s">
        <v>9</v>
      </c>
      <c r="B29" s="11">
        <v>16.8</v>
      </c>
      <c r="C29" s="10">
        <v>67.86</v>
      </c>
      <c r="D29" s="10">
        <v>42.86</v>
      </c>
      <c r="E29" s="11">
        <v>25</v>
      </c>
      <c r="F29" s="13">
        <v>1.9734722222222219E-2</v>
      </c>
      <c r="G29" s="10">
        <v>26</v>
      </c>
    </row>
    <row r="30" spans="1:17" x14ac:dyDescent="0.2">
      <c r="A30" s="7" t="s">
        <v>95</v>
      </c>
      <c r="B30" s="8">
        <v>28.8</v>
      </c>
      <c r="C30" s="7">
        <v>86.54</v>
      </c>
      <c r="D30" s="7">
        <v>59.62</v>
      </c>
      <c r="E30" s="8">
        <v>26.92</v>
      </c>
      <c r="F30" s="12">
        <v>2.2124305555555557E-2</v>
      </c>
      <c r="G30" s="7">
        <v>21</v>
      </c>
    </row>
    <row r="31" spans="1:17" x14ac:dyDescent="0.2">
      <c r="A31" s="10" t="s">
        <v>88</v>
      </c>
      <c r="B31" s="11">
        <v>31.4</v>
      </c>
      <c r="C31" s="10">
        <v>85.94</v>
      </c>
      <c r="D31" s="10">
        <v>59.38</v>
      </c>
      <c r="E31" s="11">
        <v>26.56</v>
      </c>
      <c r="F31" s="13">
        <v>2.0725810185185187E-2</v>
      </c>
      <c r="G31" s="10">
        <v>23</v>
      </c>
    </row>
    <row r="32" spans="1:17" x14ac:dyDescent="0.2">
      <c r="A32" s="7" t="s">
        <v>73</v>
      </c>
      <c r="B32" s="8">
        <v>29</v>
      </c>
      <c r="C32" s="7">
        <v>84.78</v>
      </c>
      <c r="D32" s="7">
        <v>60.87</v>
      </c>
      <c r="E32" s="8">
        <v>23.91</v>
      </c>
      <c r="F32" s="12">
        <v>2.2402083333333333E-2</v>
      </c>
      <c r="G32" s="7">
        <v>24</v>
      </c>
    </row>
    <row r="33" spans="1:7" x14ac:dyDescent="0.2">
      <c r="A33" s="10" t="s">
        <v>22</v>
      </c>
      <c r="B33" s="11">
        <v>32.1</v>
      </c>
      <c r="C33" s="10">
        <v>89.09</v>
      </c>
      <c r="D33" s="10">
        <v>61.82</v>
      </c>
      <c r="E33" s="11">
        <v>27.27</v>
      </c>
      <c r="F33" s="13">
        <v>2.1153819444444444E-2</v>
      </c>
      <c r="G33" s="10">
        <v>16</v>
      </c>
    </row>
    <row r="34" spans="1:7" x14ac:dyDescent="0.2">
      <c r="A34" s="7" t="s">
        <v>71</v>
      </c>
      <c r="B34" s="8">
        <v>26</v>
      </c>
      <c r="C34" s="7">
        <v>75.930000000000007</v>
      </c>
      <c r="D34" s="7">
        <v>57.41</v>
      </c>
      <c r="E34" s="8">
        <v>18.52</v>
      </c>
      <c r="F34" s="12">
        <v>2.2142129629629633E-2</v>
      </c>
      <c r="G34" s="7">
        <v>27</v>
      </c>
    </row>
    <row r="35" spans="1:7" x14ac:dyDescent="0.2">
      <c r="A35" s="10" t="s">
        <v>105</v>
      </c>
      <c r="B35" s="11">
        <v>39.6</v>
      </c>
      <c r="C35" s="10">
        <v>80.88</v>
      </c>
      <c r="D35" s="10">
        <v>57.35</v>
      </c>
      <c r="E35" s="11">
        <v>23.53</v>
      </c>
      <c r="F35" s="13">
        <v>2.0487731481481482E-2</v>
      </c>
      <c r="G35" s="10">
        <v>26</v>
      </c>
    </row>
    <row r="36" spans="1:7" x14ac:dyDescent="0.2">
      <c r="A36" s="7" t="s">
        <v>67</v>
      </c>
      <c r="B36" s="8">
        <v>37.700000000000003</v>
      </c>
      <c r="C36" s="7">
        <v>81.67</v>
      </c>
      <c r="D36" s="7">
        <v>60</v>
      </c>
      <c r="E36" s="8">
        <v>21.67</v>
      </c>
      <c r="F36" s="12">
        <v>1.7803819444444445E-2</v>
      </c>
      <c r="G36" s="7">
        <v>27</v>
      </c>
    </row>
    <row r="37" spans="1:7" x14ac:dyDescent="0.2">
      <c r="A37" s="10" t="s">
        <v>115</v>
      </c>
      <c r="B37" s="11">
        <v>26.6</v>
      </c>
      <c r="C37" s="10">
        <v>81.25</v>
      </c>
      <c r="D37" s="10">
        <v>54.17</v>
      </c>
      <c r="E37" s="11">
        <v>27.08</v>
      </c>
      <c r="F37" s="13">
        <v>2.0405092592592593E-2</v>
      </c>
      <c r="G37" s="10">
        <v>28</v>
      </c>
    </row>
    <row r="38" spans="1:7" x14ac:dyDescent="0.2">
      <c r="A38" s="7" t="s">
        <v>125</v>
      </c>
      <c r="B38" s="8">
        <v>32.5</v>
      </c>
      <c r="C38" s="7">
        <v>94.23</v>
      </c>
      <c r="D38" s="7">
        <v>65.38</v>
      </c>
      <c r="E38" s="8">
        <v>28.85</v>
      </c>
      <c r="F38" s="12">
        <v>2.244571759259259E-2</v>
      </c>
      <c r="G38" s="7">
        <v>19</v>
      </c>
    </row>
    <row r="39" spans="1:7" x14ac:dyDescent="0.2">
      <c r="A39" s="10" t="s">
        <v>76</v>
      </c>
      <c r="B39" s="11">
        <v>27.2</v>
      </c>
      <c r="C39" s="10">
        <v>88</v>
      </c>
      <c r="D39" s="10">
        <v>58</v>
      </c>
      <c r="E39" s="11">
        <v>30</v>
      </c>
      <c r="F39" s="13">
        <v>2.131076388888889E-2</v>
      </c>
      <c r="G39" s="10">
        <v>20</v>
      </c>
    </row>
    <row r="40" spans="1:7" x14ac:dyDescent="0.2">
      <c r="A40" s="7" t="s">
        <v>68</v>
      </c>
      <c r="B40" s="8">
        <v>28.9</v>
      </c>
      <c r="C40" s="7">
        <v>87.76</v>
      </c>
      <c r="D40" s="7">
        <v>63.27</v>
      </c>
      <c r="E40" s="8">
        <v>24.49</v>
      </c>
      <c r="F40" s="12">
        <v>2.090011574074074E-2</v>
      </c>
      <c r="G40" s="7">
        <v>11</v>
      </c>
    </row>
    <row r="41" spans="1:7" x14ac:dyDescent="0.2">
      <c r="A41" s="10" t="s">
        <v>52</v>
      </c>
      <c r="B41" s="11">
        <v>21.7</v>
      </c>
      <c r="C41" s="10">
        <v>82.35</v>
      </c>
      <c r="D41" s="10">
        <v>64.709999999999994</v>
      </c>
      <c r="E41" s="11">
        <v>17.649999999999999</v>
      </c>
      <c r="F41" s="13">
        <v>1.9832175925925927E-2</v>
      </c>
      <c r="G41" s="10">
        <v>17</v>
      </c>
    </row>
    <row r="42" spans="1:7" x14ac:dyDescent="0.2">
      <c r="A42" s="7" t="s">
        <v>118</v>
      </c>
      <c r="B42" s="8">
        <v>17.100000000000001</v>
      </c>
      <c r="C42" s="7">
        <v>72.73</v>
      </c>
      <c r="D42" s="7">
        <v>57.58</v>
      </c>
      <c r="E42" s="8">
        <v>15.15</v>
      </c>
      <c r="F42" s="12">
        <v>2.0303819444444444E-2</v>
      </c>
      <c r="G42" s="7">
        <v>20</v>
      </c>
    </row>
    <row r="43" spans="1:7" x14ac:dyDescent="0.2">
      <c r="A43" s="10" t="s">
        <v>36</v>
      </c>
      <c r="B43" s="11">
        <v>33.6</v>
      </c>
      <c r="C43" s="10">
        <v>89.36</v>
      </c>
      <c r="D43" s="10">
        <v>80.849999999999994</v>
      </c>
      <c r="E43" s="11">
        <v>8.51</v>
      </c>
      <c r="F43" s="13">
        <v>2.1376388888888889E-2</v>
      </c>
      <c r="G43" s="10">
        <v>18</v>
      </c>
    </row>
    <row r="44" spans="1:7" x14ac:dyDescent="0.2">
      <c r="A44" s="7" t="s">
        <v>127</v>
      </c>
      <c r="B44" s="8">
        <v>21.3</v>
      </c>
      <c r="C44" s="7">
        <v>76.47</v>
      </c>
      <c r="D44" s="7">
        <v>55.88</v>
      </c>
      <c r="E44" s="8">
        <v>20.59</v>
      </c>
      <c r="F44" s="12">
        <v>1.9269907407407406E-2</v>
      </c>
      <c r="G44" s="7">
        <v>27</v>
      </c>
    </row>
    <row r="45" spans="1:7" x14ac:dyDescent="0.2">
      <c r="A45" s="10" t="s">
        <v>86</v>
      </c>
      <c r="B45" s="11">
        <v>31.2</v>
      </c>
      <c r="C45" s="10">
        <v>80.39</v>
      </c>
      <c r="D45" s="10">
        <v>68.63</v>
      </c>
      <c r="E45" s="11">
        <v>11.76</v>
      </c>
      <c r="F45" s="13">
        <v>2.1007870370370371E-2</v>
      </c>
      <c r="G45" s="10">
        <v>20</v>
      </c>
    </row>
    <row r="46" spans="1:7" x14ac:dyDescent="0.2">
      <c r="A46" s="7" t="s">
        <v>65</v>
      </c>
      <c r="B46" s="8">
        <v>26.8</v>
      </c>
      <c r="C46" s="7">
        <v>77.55</v>
      </c>
      <c r="D46" s="7">
        <v>57.14</v>
      </c>
      <c r="E46" s="8">
        <v>20.41</v>
      </c>
      <c r="F46" s="12">
        <v>1.8617824074074075E-2</v>
      </c>
      <c r="G46" s="7">
        <v>28</v>
      </c>
    </row>
    <row r="47" spans="1:7" x14ac:dyDescent="0.2">
      <c r="A47" s="10" t="s">
        <v>58</v>
      </c>
      <c r="B47" s="11">
        <v>22.3</v>
      </c>
      <c r="C47" s="10">
        <v>72.22</v>
      </c>
      <c r="D47" s="10">
        <v>52.78</v>
      </c>
      <c r="E47" s="11">
        <v>19.440000000000001</v>
      </c>
      <c r="F47" s="13">
        <v>2.1272222222222224E-2</v>
      </c>
      <c r="G47" s="10">
        <v>25</v>
      </c>
    </row>
    <row r="48" spans="1:7" x14ac:dyDescent="0.2">
      <c r="A48" s="7" t="s">
        <v>21</v>
      </c>
      <c r="B48" s="8">
        <v>20.8</v>
      </c>
      <c r="C48" s="7">
        <v>77.14</v>
      </c>
      <c r="D48" s="7">
        <v>57.14</v>
      </c>
      <c r="E48" s="8">
        <v>20</v>
      </c>
      <c r="F48" s="12">
        <v>2.2316782407407407E-2</v>
      </c>
      <c r="G48" s="7">
        <v>25</v>
      </c>
    </row>
    <row r="49" spans="1:7" x14ac:dyDescent="0.2">
      <c r="A49" s="10" t="s">
        <v>12</v>
      </c>
      <c r="B49" s="11">
        <v>26.4</v>
      </c>
      <c r="C49" s="10">
        <v>80.95</v>
      </c>
      <c r="D49" s="10">
        <v>59.52</v>
      </c>
      <c r="E49" s="11">
        <v>21.43</v>
      </c>
      <c r="F49" s="13">
        <v>2.1536689814814814E-2</v>
      </c>
      <c r="G49" s="10">
        <v>16</v>
      </c>
    </row>
    <row r="50" spans="1:7" x14ac:dyDescent="0.2">
      <c r="A50" s="7" t="s">
        <v>70</v>
      </c>
      <c r="B50" s="8">
        <v>29.7</v>
      </c>
      <c r="C50" s="7">
        <v>86.27</v>
      </c>
      <c r="D50" s="7">
        <v>52.94</v>
      </c>
      <c r="E50" s="8">
        <v>33.33</v>
      </c>
      <c r="F50" s="12">
        <v>2.0950810185185183E-2</v>
      </c>
      <c r="G50" s="7">
        <v>24</v>
      </c>
    </row>
    <row r="51" spans="1:7" x14ac:dyDescent="0.2">
      <c r="A51" s="10" t="s">
        <v>78</v>
      </c>
      <c r="B51" s="11">
        <v>20.8</v>
      </c>
      <c r="C51" s="10">
        <v>81.25</v>
      </c>
      <c r="D51" s="10">
        <v>68.75</v>
      </c>
      <c r="E51" s="11">
        <v>12.5</v>
      </c>
      <c r="F51" s="13">
        <v>1.9094328703703704E-2</v>
      </c>
      <c r="G51" s="10">
        <v>23</v>
      </c>
    </row>
    <row r="52" spans="1:7" x14ac:dyDescent="0.2">
      <c r="A52" s="7" t="s">
        <v>97</v>
      </c>
      <c r="B52" s="8">
        <v>32.200000000000003</v>
      </c>
      <c r="C52" s="7">
        <v>85.71</v>
      </c>
      <c r="D52" s="7">
        <v>63.27</v>
      </c>
      <c r="E52" s="8">
        <v>22.45</v>
      </c>
      <c r="F52" s="12">
        <v>2.0124652777777779E-2</v>
      </c>
      <c r="G52" s="7">
        <v>14</v>
      </c>
    </row>
    <row r="53" spans="1:7" x14ac:dyDescent="0.2">
      <c r="A53" s="10" t="s">
        <v>1</v>
      </c>
      <c r="B53" s="11">
        <v>14.4</v>
      </c>
      <c r="C53" s="10">
        <v>94.74</v>
      </c>
      <c r="D53" s="10">
        <v>47.37</v>
      </c>
      <c r="E53" s="11">
        <v>47.37</v>
      </c>
      <c r="F53" s="13">
        <v>2.0420486111111111E-2</v>
      </c>
      <c r="G53" s="10">
        <v>26</v>
      </c>
    </row>
    <row r="54" spans="1:7" x14ac:dyDescent="0.2">
      <c r="A54" s="7" t="s">
        <v>39</v>
      </c>
      <c r="B54" s="8">
        <v>26.3</v>
      </c>
      <c r="C54" s="7">
        <v>75</v>
      </c>
      <c r="D54" s="7">
        <v>55.77</v>
      </c>
      <c r="E54" s="8">
        <v>19.23</v>
      </c>
      <c r="F54" s="12">
        <v>1.9714236111111113E-2</v>
      </c>
      <c r="G54" s="7">
        <v>36</v>
      </c>
    </row>
    <row r="55" spans="1:7" x14ac:dyDescent="0.2">
      <c r="A55" s="10" t="s">
        <v>93</v>
      </c>
      <c r="B55" s="11">
        <v>21.6</v>
      </c>
      <c r="C55" s="10">
        <v>75.47</v>
      </c>
      <c r="D55" s="10">
        <v>45.28</v>
      </c>
      <c r="E55" s="11">
        <v>30.19</v>
      </c>
      <c r="F55" s="13">
        <v>2.2827430555555556E-2</v>
      </c>
      <c r="G55" s="10">
        <v>24</v>
      </c>
    </row>
    <row r="56" spans="1:7" x14ac:dyDescent="0.2">
      <c r="A56" s="7" t="s">
        <v>84</v>
      </c>
      <c r="B56" s="8">
        <v>32.799999999999997</v>
      </c>
      <c r="C56" s="7">
        <v>77.19</v>
      </c>
      <c r="D56" s="7">
        <v>70.180000000000007</v>
      </c>
      <c r="E56" s="8">
        <v>7.02</v>
      </c>
      <c r="F56" s="12">
        <v>1.8869328703703701E-2</v>
      </c>
      <c r="G56" s="7">
        <v>29</v>
      </c>
    </row>
    <row r="57" spans="1:7" x14ac:dyDescent="0.2">
      <c r="A57" s="10" t="s">
        <v>104</v>
      </c>
      <c r="B57" s="11">
        <v>29.5</v>
      </c>
      <c r="C57" s="10">
        <v>87.23</v>
      </c>
      <c r="D57" s="10">
        <v>68.09</v>
      </c>
      <c r="E57" s="11">
        <v>19.149999999999999</v>
      </c>
      <c r="F57" s="13">
        <v>2.1186805555555552E-2</v>
      </c>
      <c r="G57" s="10">
        <v>19</v>
      </c>
    </row>
    <row r="58" spans="1:7" x14ac:dyDescent="0.2">
      <c r="A58" s="7" t="s">
        <v>91</v>
      </c>
      <c r="B58" s="8">
        <v>26.5</v>
      </c>
      <c r="C58" s="7">
        <v>78.569999999999993</v>
      </c>
      <c r="D58" s="7">
        <v>61.9</v>
      </c>
      <c r="E58" s="8">
        <v>16.670000000000002</v>
      </c>
      <c r="F58" s="12">
        <v>1.7499999999999998E-2</v>
      </c>
      <c r="G58" s="7">
        <v>38</v>
      </c>
    </row>
    <row r="59" spans="1:7" x14ac:dyDescent="0.2">
      <c r="A59" s="10" t="s">
        <v>107</v>
      </c>
      <c r="B59" s="11">
        <v>23.2</v>
      </c>
      <c r="C59" s="10">
        <v>84.21</v>
      </c>
      <c r="D59" s="10">
        <v>60.53</v>
      </c>
      <c r="E59" s="11">
        <v>23.68</v>
      </c>
      <c r="F59" s="13">
        <v>2.2156597222222223E-2</v>
      </c>
      <c r="G59" s="10">
        <v>17</v>
      </c>
    </row>
    <row r="60" spans="1:7" x14ac:dyDescent="0.2">
      <c r="A60" s="7" t="s">
        <v>34</v>
      </c>
      <c r="B60" s="8">
        <v>30.6</v>
      </c>
      <c r="C60" s="7">
        <v>88.24</v>
      </c>
      <c r="D60" s="7">
        <v>58.82</v>
      </c>
      <c r="E60" s="8">
        <v>29.41</v>
      </c>
      <c r="F60" s="12">
        <v>2.1391782407407408E-2</v>
      </c>
      <c r="G60" s="7">
        <v>24</v>
      </c>
    </row>
    <row r="61" spans="1:7" x14ac:dyDescent="0.2">
      <c r="A61" s="10" t="s">
        <v>35</v>
      </c>
      <c r="B61" s="11">
        <v>29</v>
      </c>
      <c r="C61" s="10">
        <v>79.59</v>
      </c>
      <c r="D61" s="10">
        <v>65.31</v>
      </c>
      <c r="E61" s="11">
        <v>14.29</v>
      </c>
      <c r="F61" s="13">
        <v>2.1899074074074074E-2</v>
      </c>
      <c r="G61" s="10">
        <v>21</v>
      </c>
    </row>
    <row r="62" spans="1:7" x14ac:dyDescent="0.2">
      <c r="A62" s="7" t="s">
        <v>10</v>
      </c>
      <c r="B62" s="8">
        <v>29.8</v>
      </c>
      <c r="C62" s="7">
        <v>87.04</v>
      </c>
      <c r="D62" s="7">
        <v>59.26</v>
      </c>
      <c r="E62" s="8">
        <v>27.78</v>
      </c>
      <c r="F62" s="12">
        <v>2.0233217592592594E-2</v>
      </c>
      <c r="G62" s="7">
        <v>18</v>
      </c>
    </row>
    <row r="63" spans="1:7" x14ac:dyDescent="0.2">
      <c r="A63" s="10" t="s">
        <v>49</v>
      </c>
      <c r="B63" s="11">
        <v>29.7</v>
      </c>
      <c r="C63" s="10">
        <v>82.14</v>
      </c>
      <c r="D63" s="10">
        <v>69.64</v>
      </c>
      <c r="E63" s="11">
        <v>12.5</v>
      </c>
      <c r="F63" s="13">
        <v>2.1808217592592594E-2</v>
      </c>
      <c r="G63" s="10">
        <v>16</v>
      </c>
    </row>
    <row r="64" spans="1:7" x14ac:dyDescent="0.2">
      <c r="A64" s="7" t="s">
        <v>83</v>
      </c>
      <c r="B64" s="8">
        <v>30.9</v>
      </c>
      <c r="C64" s="7">
        <v>85.37</v>
      </c>
      <c r="D64" s="7">
        <v>65.849999999999994</v>
      </c>
      <c r="E64" s="8">
        <v>19.510000000000002</v>
      </c>
      <c r="F64" s="12">
        <v>2.1717939814814815E-2</v>
      </c>
      <c r="G64" s="7">
        <v>24</v>
      </c>
    </row>
    <row r="65" spans="1:7" x14ac:dyDescent="0.2">
      <c r="A65" s="10" t="s">
        <v>69</v>
      </c>
      <c r="B65" s="11">
        <v>41</v>
      </c>
      <c r="C65" s="10">
        <v>81.33</v>
      </c>
      <c r="D65" s="10">
        <v>66.67</v>
      </c>
      <c r="E65" s="11">
        <v>14.67</v>
      </c>
      <c r="F65" s="13">
        <v>2.3831828703703702E-2</v>
      </c>
      <c r="G65" s="10">
        <v>19</v>
      </c>
    </row>
    <row r="66" spans="1:7" x14ac:dyDescent="0.2">
      <c r="A66" s="7" t="s">
        <v>111</v>
      </c>
      <c r="B66" s="8">
        <v>15.8</v>
      </c>
      <c r="C66" s="7">
        <v>84</v>
      </c>
      <c r="D66" s="7">
        <v>68</v>
      </c>
      <c r="E66" s="8">
        <v>16</v>
      </c>
      <c r="F66" s="12">
        <v>2.0216087962962963E-2</v>
      </c>
      <c r="G66" s="7">
        <v>31</v>
      </c>
    </row>
    <row r="67" spans="1:7" x14ac:dyDescent="0.2">
      <c r="A67" s="10" t="s">
        <v>50</v>
      </c>
      <c r="B67" s="11">
        <v>15.7</v>
      </c>
      <c r="C67" s="10">
        <v>79.17</v>
      </c>
      <c r="D67" s="10">
        <v>41.67</v>
      </c>
      <c r="E67" s="11">
        <v>37.5</v>
      </c>
      <c r="F67" s="13">
        <v>2.193576388888889E-2</v>
      </c>
      <c r="G67" s="10">
        <v>18</v>
      </c>
    </row>
    <row r="68" spans="1:7" x14ac:dyDescent="0.2">
      <c r="A68" s="7" t="s">
        <v>82</v>
      </c>
      <c r="B68" s="8">
        <v>25.3</v>
      </c>
      <c r="C68" s="7">
        <v>90</v>
      </c>
      <c r="D68" s="7">
        <v>56</v>
      </c>
      <c r="E68" s="8">
        <v>34</v>
      </c>
      <c r="F68" s="12">
        <v>2.1967592592592594E-2</v>
      </c>
      <c r="G68" s="7">
        <v>23</v>
      </c>
    </row>
    <row r="69" spans="1:7" x14ac:dyDescent="0.2">
      <c r="A69" s="10" t="s">
        <v>46</v>
      </c>
      <c r="B69" s="11">
        <v>31.8</v>
      </c>
      <c r="C69" s="10">
        <v>76.47</v>
      </c>
      <c r="D69" s="10">
        <v>52.94</v>
      </c>
      <c r="E69" s="11">
        <v>23.53</v>
      </c>
      <c r="F69" s="13">
        <v>2.2260532407407409E-2</v>
      </c>
      <c r="G69" s="10">
        <v>22</v>
      </c>
    </row>
    <row r="70" spans="1:7" x14ac:dyDescent="0.2">
      <c r="A70" s="7" t="s">
        <v>16</v>
      </c>
      <c r="B70" s="8">
        <v>23.9</v>
      </c>
      <c r="C70" s="7">
        <v>82.86</v>
      </c>
      <c r="D70" s="7">
        <v>51.43</v>
      </c>
      <c r="E70" s="8">
        <v>31.43</v>
      </c>
      <c r="F70" s="12">
        <v>2.1884606481481481E-2</v>
      </c>
      <c r="G70" s="7">
        <v>18</v>
      </c>
    </row>
    <row r="71" spans="1:7" x14ac:dyDescent="0.2">
      <c r="A71" s="10" t="s">
        <v>51</v>
      </c>
      <c r="B71" s="11">
        <v>38</v>
      </c>
      <c r="C71" s="10">
        <v>84.13</v>
      </c>
      <c r="D71" s="10">
        <v>63.49</v>
      </c>
      <c r="E71" s="11">
        <v>20.63</v>
      </c>
      <c r="F71" s="13">
        <v>2.1334374999999999E-2</v>
      </c>
      <c r="G71" s="10">
        <v>14</v>
      </c>
    </row>
    <row r="72" spans="1:7" x14ac:dyDescent="0.2">
      <c r="A72" s="7" t="s">
        <v>55</v>
      </c>
      <c r="B72" s="8">
        <v>26.4</v>
      </c>
      <c r="C72" s="7">
        <v>84.62</v>
      </c>
      <c r="D72" s="7">
        <v>63.46</v>
      </c>
      <c r="E72" s="8">
        <v>21.15</v>
      </c>
      <c r="F72" s="12">
        <v>2.0584027777777777E-2</v>
      </c>
      <c r="G72" s="7">
        <v>23</v>
      </c>
    </row>
    <row r="73" spans="1:7" x14ac:dyDescent="0.2">
      <c r="A73" s="10" t="s">
        <v>23</v>
      </c>
      <c r="B73" s="11">
        <v>26.3</v>
      </c>
      <c r="C73" s="10">
        <v>82.61</v>
      </c>
      <c r="D73" s="10">
        <v>56.52</v>
      </c>
      <c r="E73" s="11">
        <v>26.09</v>
      </c>
      <c r="F73" s="13">
        <v>1.9393749999999998E-2</v>
      </c>
      <c r="G73" s="10">
        <v>24</v>
      </c>
    </row>
    <row r="74" spans="1:7" x14ac:dyDescent="0.2">
      <c r="A74" s="7" t="s">
        <v>13</v>
      </c>
      <c r="B74" s="8">
        <v>27.5</v>
      </c>
      <c r="C74" s="7">
        <v>88.37</v>
      </c>
      <c r="D74" s="7">
        <v>76.739999999999995</v>
      </c>
      <c r="E74" s="8">
        <v>11.63</v>
      </c>
      <c r="F74" s="12">
        <v>2.0897453703703703E-2</v>
      </c>
      <c r="G74" s="7">
        <v>32</v>
      </c>
    </row>
    <row r="75" spans="1:7" x14ac:dyDescent="0.2">
      <c r="A75" s="10" t="s">
        <v>4</v>
      </c>
      <c r="B75" s="11">
        <v>38.799999999999997</v>
      </c>
      <c r="C75" s="10">
        <v>87.69</v>
      </c>
      <c r="D75" s="10">
        <v>63.08</v>
      </c>
      <c r="E75" s="11">
        <v>24.62</v>
      </c>
      <c r="F75" s="13">
        <v>2.2345949074074074E-2</v>
      </c>
      <c r="G75" s="10">
        <v>15</v>
      </c>
    </row>
    <row r="76" spans="1:7" x14ac:dyDescent="0.2">
      <c r="A76" s="7" t="s">
        <v>3</v>
      </c>
      <c r="B76" s="8">
        <v>37.200000000000003</v>
      </c>
      <c r="C76" s="7">
        <v>81.819999999999993</v>
      </c>
      <c r="D76" s="7">
        <v>57.14</v>
      </c>
      <c r="E76" s="8">
        <v>24.68</v>
      </c>
      <c r="F76" s="12">
        <v>2.1037500000000001E-2</v>
      </c>
      <c r="G76" s="7">
        <v>18</v>
      </c>
    </row>
    <row r="77" spans="1:7" x14ac:dyDescent="0.2">
      <c r="A77" s="10" t="s">
        <v>2</v>
      </c>
      <c r="B77" s="11">
        <v>44.2</v>
      </c>
      <c r="C77" s="10">
        <v>95.08</v>
      </c>
      <c r="D77" s="10">
        <v>67.209999999999994</v>
      </c>
      <c r="E77" s="11">
        <v>27.87</v>
      </c>
      <c r="F77" s="13">
        <v>1.9225462962962962E-2</v>
      </c>
      <c r="G77" s="10">
        <v>22</v>
      </c>
    </row>
    <row r="78" spans="1:7" x14ac:dyDescent="0.2">
      <c r="A78" s="7" t="s">
        <v>18</v>
      </c>
      <c r="B78" s="8">
        <v>47</v>
      </c>
      <c r="C78" s="7">
        <v>82.35</v>
      </c>
      <c r="D78" s="7">
        <v>64.709999999999994</v>
      </c>
      <c r="E78" s="8">
        <v>17.649999999999999</v>
      </c>
      <c r="F78" s="12">
        <v>1.9376736111111112E-2</v>
      </c>
      <c r="G78" s="7">
        <v>24</v>
      </c>
    </row>
    <row r="79" spans="1:7" x14ac:dyDescent="0.2">
      <c r="A79" s="10" t="s">
        <v>112</v>
      </c>
      <c r="B79" s="11">
        <v>24.4</v>
      </c>
      <c r="C79" s="10">
        <v>85</v>
      </c>
      <c r="D79" s="10">
        <v>67.5</v>
      </c>
      <c r="E79" s="11">
        <v>17.5</v>
      </c>
      <c r="F79" s="13">
        <v>1.953125E-2</v>
      </c>
      <c r="G79" s="10">
        <v>16</v>
      </c>
    </row>
    <row r="80" spans="1:7" x14ac:dyDescent="0.2">
      <c r="A80" s="7" t="s">
        <v>6</v>
      </c>
      <c r="B80" s="8">
        <v>24.5</v>
      </c>
      <c r="C80" s="7">
        <v>79.59</v>
      </c>
      <c r="D80" s="7">
        <v>55.1</v>
      </c>
      <c r="E80" s="8">
        <v>24.49</v>
      </c>
      <c r="F80" s="12">
        <v>2.1387152777777779E-2</v>
      </c>
      <c r="G80" s="7">
        <v>21</v>
      </c>
    </row>
    <row r="81" spans="1:7" x14ac:dyDescent="0.2">
      <c r="A81" s="10" t="s">
        <v>99</v>
      </c>
      <c r="B81" s="11">
        <v>26.3</v>
      </c>
      <c r="C81" s="10">
        <v>80.39</v>
      </c>
      <c r="D81" s="10">
        <v>50.98</v>
      </c>
      <c r="E81" s="11">
        <v>29.41</v>
      </c>
      <c r="F81" s="13">
        <v>2.2421643518518514E-2</v>
      </c>
      <c r="G81" s="10">
        <v>21</v>
      </c>
    </row>
    <row r="82" spans="1:7" x14ac:dyDescent="0.2">
      <c r="A82" s="7" t="s">
        <v>96</v>
      </c>
      <c r="B82" s="8">
        <v>19.7</v>
      </c>
      <c r="C82" s="7">
        <v>81.819999999999993</v>
      </c>
      <c r="D82" s="7">
        <v>48.48</v>
      </c>
      <c r="E82" s="8">
        <v>33.33</v>
      </c>
      <c r="F82" s="12">
        <v>1.968171296296296E-2</v>
      </c>
      <c r="G82" s="7">
        <v>27</v>
      </c>
    </row>
    <row r="83" spans="1:7" x14ac:dyDescent="0.2">
      <c r="A83" s="10" t="s">
        <v>123</v>
      </c>
      <c r="B83" s="11">
        <v>28.7</v>
      </c>
      <c r="C83" s="10">
        <v>82.61</v>
      </c>
      <c r="D83" s="10">
        <v>67.39</v>
      </c>
      <c r="E83" s="11">
        <v>15.22</v>
      </c>
      <c r="F83" s="13">
        <v>2.1369560185185186E-2</v>
      </c>
      <c r="G83" s="10">
        <v>21</v>
      </c>
    </row>
    <row r="84" spans="1:7" x14ac:dyDescent="0.2">
      <c r="A84" s="7" t="s">
        <v>119</v>
      </c>
      <c r="B84" s="8">
        <v>20.8</v>
      </c>
      <c r="C84" s="7">
        <v>77.78</v>
      </c>
      <c r="D84" s="7">
        <v>41.67</v>
      </c>
      <c r="E84" s="8">
        <v>36.11</v>
      </c>
      <c r="F84" s="12">
        <v>2.1638657407407405E-2</v>
      </c>
      <c r="G84" s="7">
        <v>15</v>
      </c>
    </row>
    <row r="85" spans="1:7" x14ac:dyDescent="0.2">
      <c r="A85" s="10" t="s">
        <v>48</v>
      </c>
      <c r="B85" s="11">
        <v>35</v>
      </c>
      <c r="C85" s="10">
        <v>82.14</v>
      </c>
      <c r="D85" s="10">
        <v>57.14</v>
      </c>
      <c r="E85" s="11">
        <v>25</v>
      </c>
      <c r="F85" s="13">
        <v>1.9622453703703704E-2</v>
      </c>
      <c r="G85" s="10">
        <v>22</v>
      </c>
    </row>
    <row r="86" spans="1:7" x14ac:dyDescent="0.2">
      <c r="A86" s="7" t="s">
        <v>124</v>
      </c>
      <c r="B86" s="8">
        <v>16.100000000000001</v>
      </c>
      <c r="C86" s="7">
        <v>78.790000000000006</v>
      </c>
      <c r="D86" s="7">
        <v>48.48</v>
      </c>
      <c r="E86" s="8">
        <v>30.3</v>
      </c>
      <c r="F86" s="12">
        <v>2.058136574074074E-2</v>
      </c>
      <c r="G86" s="7">
        <v>25</v>
      </c>
    </row>
    <row r="87" spans="1:7" x14ac:dyDescent="0.2">
      <c r="A87" s="10" t="s">
        <v>7</v>
      </c>
      <c r="B87" s="11">
        <v>25.7</v>
      </c>
      <c r="C87" s="10">
        <v>82.22</v>
      </c>
      <c r="D87" s="10">
        <v>68.89</v>
      </c>
      <c r="E87" s="11">
        <v>13.33</v>
      </c>
      <c r="F87" s="13">
        <v>2.1223495370370368E-2</v>
      </c>
      <c r="G87" s="10">
        <v>27</v>
      </c>
    </row>
    <row r="88" spans="1:7" x14ac:dyDescent="0.2">
      <c r="A88" s="7" t="s">
        <v>98</v>
      </c>
      <c r="B88" s="8">
        <v>30.9</v>
      </c>
      <c r="C88" s="7">
        <v>85.71</v>
      </c>
      <c r="D88" s="7">
        <v>67.86</v>
      </c>
      <c r="E88" s="8">
        <v>17.86</v>
      </c>
      <c r="F88" s="12">
        <v>2.1455902777777775E-2</v>
      </c>
      <c r="G88" s="7">
        <v>26</v>
      </c>
    </row>
    <row r="89" spans="1:7" x14ac:dyDescent="0.2">
      <c r="A89" s="10" t="s">
        <v>15</v>
      </c>
      <c r="B89" s="11">
        <v>24.1</v>
      </c>
      <c r="C89" s="10">
        <v>85.71</v>
      </c>
      <c r="D89" s="10">
        <v>52.38</v>
      </c>
      <c r="E89" s="11">
        <v>33.33</v>
      </c>
      <c r="F89" s="13">
        <v>1.9711574074074076E-2</v>
      </c>
      <c r="G89" s="10">
        <v>22</v>
      </c>
    </row>
    <row r="90" spans="1:7" x14ac:dyDescent="0.2">
      <c r="A90" s="7" t="s">
        <v>47</v>
      </c>
      <c r="B90" s="8">
        <v>36.799999999999997</v>
      </c>
      <c r="C90" s="7">
        <v>85.25</v>
      </c>
      <c r="D90" s="7">
        <v>59.02</v>
      </c>
      <c r="E90" s="8">
        <v>26.23</v>
      </c>
      <c r="F90" s="12">
        <v>2.2417245370370372E-2</v>
      </c>
      <c r="G90" s="7">
        <v>17</v>
      </c>
    </row>
    <row r="91" spans="1:7" x14ac:dyDescent="0.2">
      <c r="A91" s="10" t="s">
        <v>37</v>
      </c>
      <c r="B91" s="11">
        <v>40.299999999999997</v>
      </c>
      <c r="C91" s="10">
        <v>88.57</v>
      </c>
      <c r="D91" s="10">
        <v>68.569999999999993</v>
      </c>
      <c r="E91" s="11">
        <v>20</v>
      </c>
      <c r="F91" s="13">
        <v>2.400023148148148E-2</v>
      </c>
      <c r="G91" s="10">
        <v>17</v>
      </c>
    </row>
    <row r="92" spans="1:7" x14ac:dyDescent="0.2">
      <c r="A92" s="7" t="s">
        <v>75</v>
      </c>
      <c r="B92" s="8">
        <v>22.2</v>
      </c>
      <c r="C92" s="7">
        <v>85.71</v>
      </c>
      <c r="D92" s="7">
        <v>52.38</v>
      </c>
      <c r="E92" s="8">
        <v>33.33</v>
      </c>
      <c r="F92" s="12">
        <v>1.9371412037037038E-2</v>
      </c>
      <c r="G92" s="7">
        <v>21</v>
      </c>
    </row>
    <row r="93" spans="1:7" x14ac:dyDescent="0.2">
      <c r="A93" s="10" t="s">
        <v>27</v>
      </c>
      <c r="B93" s="11">
        <v>41.6</v>
      </c>
      <c r="C93" s="10">
        <v>88.41</v>
      </c>
      <c r="D93" s="10">
        <v>73.91</v>
      </c>
      <c r="E93" s="11">
        <v>14.49</v>
      </c>
      <c r="F93" s="13">
        <v>2.3412615740740741E-2</v>
      </c>
      <c r="G93" s="10">
        <v>13</v>
      </c>
    </row>
    <row r="94" spans="1:7" x14ac:dyDescent="0.2">
      <c r="A94" s="7" t="s">
        <v>90</v>
      </c>
      <c r="B94" s="8">
        <v>25</v>
      </c>
      <c r="C94" s="7">
        <v>79.489999999999995</v>
      </c>
      <c r="D94" s="7">
        <v>58.97</v>
      </c>
      <c r="E94" s="8">
        <v>20.51</v>
      </c>
      <c r="F94" s="12">
        <v>2.0227662037037037E-2</v>
      </c>
      <c r="G94" s="7">
        <v>26</v>
      </c>
    </row>
    <row r="95" spans="1:7" x14ac:dyDescent="0.2">
      <c r="A95" s="10" t="s">
        <v>117</v>
      </c>
      <c r="B95" s="11">
        <v>27</v>
      </c>
      <c r="C95" s="10">
        <v>75</v>
      </c>
      <c r="D95" s="10">
        <v>50</v>
      </c>
      <c r="E95" s="11">
        <v>25</v>
      </c>
      <c r="F95" s="13">
        <v>2.004988425925926E-2</v>
      </c>
      <c r="G95" s="10">
        <v>24</v>
      </c>
    </row>
    <row r="96" spans="1:7" x14ac:dyDescent="0.2">
      <c r="A96" s="7" t="s">
        <v>61</v>
      </c>
      <c r="B96" s="8">
        <v>23.8</v>
      </c>
      <c r="C96" s="7">
        <v>78.849999999999994</v>
      </c>
      <c r="D96" s="7">
        <v>44.23</v>
      </c>
      <c r="E96" s="8">
        <v>34.619999999999997</v>
      </c>
      <c r="F96" s="12">
        <v>2.1068634259259259E-2</v>
      </c>
      <c r="G96" s="7">
        <v>30</v>
      </c>
    </row>
    <row r="97" spans="1:7" x14ac:dyDescent="0.2">
      <c r="A97" s="10" t="s">
        <v>43</v>
      </c>
      <c r="B97" s="11">
        <v>31.2</v>
      </c>
      <c r="C97" s="10">
        <v>88.24</v>
      </c>
      <c r="D97" s="10">
        <v>64.709999999999994</v>
      </c>
      <c r="E97" s="11">
        <v>23.53</v>
      </c>
      <c r="F97" s="13">
        <v>2.0594675925925926E-2</v>
      </c>
      <c r="G97" s="10">
        <v>30</v>
      </c>
    </row>
    <row r="98" spans="1:7" x14ac:dyDescent="0.2">
      <c r="A98" s="7" t="s">
        <v>28</v>
      </c>
      <c r="B98" s="8">
        <v>33.1</v>
      </c>
      <c r="C98" s="7">
        <v>81.819999999999993</v>
      </c>
      <c r="D98" s="7">
        <v>69.7</v>
      </c>
      <c r="E98" s="8">
        <v>12.12</v>
      </c>
      <c r="F98" s="12">
        <v>1.9586921296296297E-2</v>
      </c>
      <c r="G98" s="7">
        <v>26</v>
      </c>
    </row>
    <row r="99" spans="1:7" x14ac:dyDescent="0.2">
      <c r="A99" s="10" t="s">
        <v>14</v>
      </c>
      <c r="B99" s="11">
        <v>27.9</v>
      </c>
      <c r="C99" s="10">
        <v>80.489999999999995</v>
      </c>
      <c r="D99" s="10">
        <v>65.849999999999994</v>
      </c>
      <c r="E99" s="11">
        <v>14.63</v>
      </c>
      <c r="F99" s="13">
        <v>2.0771874999999999E-2</v>
      </c>
      <c r="G99" s="10">
        <v>23</v>
      </c>
    </row>
    <row r="100" spans="1:7" x14ac:dyDescent="0.2">
      <c r="A100" s="7" t="s">
        <v>53</v>
      </c>
      <c r="B100" s="8">
        <v>34.1</v>
      </c>
      <c r="C100" s="7">
        <v>82.14</v>
      </c>
      <c r="D100" s="7">
        <v>58.93</v>
      </c>
      <c r="E100" s="8">
        <v>23.21</v>
      </c>
      <c r="F100" s="12">
        <v>2.0309837962962964E-2</v>
      </c>
      <c r="G100" s="7">
        <v>30</v>
      </c>
    </row>
    <row r="101" spans="1:7" x14ac:dyDescent="0.2">
      <c r="A101" s="10" t="s">
        <v>74</v>
      </c>
      <c r="B101" s="11">
        <v>24.9</v>
      </c>
      <c r="C101" s="10">
        <v>81.25</v>
      </c>
      <c r="D101" s="10">
        <v>58.33</v>
      </c>
      <c r="E101" s="11">
        <v>22.92</v>
      </c>
      <c r="F101" s="13">
        <v>2.1536458333333331E-2</v>
      </c>
      <c r="G101" s="10">
        <v>25</v>
      </c>
    </row>
    <row r="102" spans="1:7" x14ac:dyDescent="0.2">
      <c r="A102" s="7" t="s">
        <v>59</v>
      </c>
      <c r="B102" s="8">
        <v>41.4</v>
      </c>
      <c r="C102" s="7">
        <v>85.71</v>
      </c>
      <c r="D102" s="7">
        <v>65.709999999999994</v>
      </c>
      <c r="E102" s="8">
        <v>20</v>
      </c>
      <c r="F102" s="12">
        <v>2.1237500000000003E-2</v>
      </c>
      <c r="G102" s="7">
        <v>19</v>
      </c>
    </row>
    <row r="103" spans="1:7" x14ac:dyDescent="0.2">
      <c r="A103" s="10" t="s">
        <v>56</v>
      </c>
      <c r="B103" s="11">
        <v>26.3</v>
      </c>
      <c r="C103" s="10">
        <v>75.56</v>
      </c>
      <c r="D103" s="10">
        <v>60</v>
      </c>
      <c r="E103" s="11">
        <v>15.56</v>
      </c>
      <c r="F103" s="13">
        <v>2.0861342592592591E-2</v>
      </c>
      <c r="G103" s="10">
        <v>24</v>
      </c>
    </row>
    <row r="104" spans="1:7" x14ac:dyDescent="0.2">
      <c r="A104" s="7" t="s">
        <v>0</v>
      </c>
      <c r="B104" s="8">
        <v>32.1</v>
      </c>
      <c r="C104" s="7">
        <v>83.33</v>
      </c>
      <c r="D104" s="7">
        <v>68.33</v>
      </c>
      <c r="E104" s="8">
        <v>15</v>
      </c>
      <c r="F104" s="12">
        <v>2.2750462962962962E-2</v>
      </c>
      <c r="G104" s="7">
        <v>19</v>
      </c>
    </row>
    <row r="105" spans="1:7" x14ac:dyDescent="0.2">
      <c r="A105" s="10" t="s">
        <v>31</v>
      </c>
      <c r="B105" s="11">
        <v>20.2</v>
      </c>
      <c r="C105" s="10">
        <v>75</v>
      </c>
      <c r="D105" s="10">
        <v>58.33</v>
      </c>
      <c r="E105" s="11">
        <v>16.670000000000002</v>
      </c>
      <c r="F105" s="13">
        <v>2.0978935185185187E-2</v>
      </c>
      <c r="G105" s="10">
        <v>29</v>
      </c>
    </row>
    <row r="106" spans="1:7" x14ac:dyDescent="0.2">
      <c r="A106" s="7" t="s">
        <v>62</v>
      </c>
      <c r="B106" s="8">
        <v>18.399999999999999</v>
      </c>
      <c r="C106" s="7">
        <v>83.33</v>
      </c>
      <c r="D106" s="7">
        <v>60</v>
      </c>
      <c r="E106" s="8">
        <v>23.33</v>
      </c>
      <c r="F106" s="12">
        <v>2.009525462962963E-2</v>
      </c>
      <c r="G106" s="7">
        <v>19</v>
      </c>
    </row>
    <row r="107" spans="1:7" x14ac:dyDescent="0.2">
      <c r="A107" s="10" t="s">
        <v>26</v>
      </c>
      <c r="B107" s="11">
        <v>31</v>
      </c>
      <c r="C107" s="10">
        <v>83.02</v>
      </c>
      <c r="D107" s="10">
        <v>66.040000000000006</v>
      </c>
      <c r="E107" s="11">
        <v>16.98</v>
      </c>
      <c r="F107" s="13">
        <v>2.2125231481481478E-2</v>
      </c>
      <c r="G107" s="10">
        <v>22</v>
      </c>
    </row>
    <row r="108" spans="1:7" x14ac:dyDescent="0.2">
      <c r="A108" s="7" t="s">
        <v>57</v>
      </c>
      <c r="B108" s="8">
        <v>33.1</v>
      </c>
      <c r="C108" s="7">
        <v>83.67</v>
      </c>
      <c r="D108" s="7">
        <v>67.349999999999994</v>
      </c>
      <c r="E108" s="8">
        <v>16.329999999999998</v>
      </c>
      <c r="F108" s="12">
        <v>2.0478125E-2</v>
      </c>
      <c r="G108" s="7">
        <v>26</v>
      </c>
    </row>
    <row r="109" spans="1:7" x14ac:dyDescent="0.2">
      <c r="A109" s="10" t="s">
        <v>44</v>
      </c>
      <c r="B109" s="11">
        <v>22</v>
      </c>
      <c r="C109" s="10">
        <v>89.47</v>
      </c>
      <c r="D109" s="10">
        <v>65.790000000000006</v>
      </c>
      <c r="E109" s="11">
        <v>23.68</v>
      </c>
      <c r="F109" s="13">
        <v>2.0334722222222223E-2</v>
      </c>
      <c r="G109" s="10">
        <v>21</v>
      </c>
    </row>
    <row r="110" spans="1:7" x14ac:dyDescent="0.2">
      <c r="A110" s="7" t="s">
        <v>128</v>
      </c>
      <c r="B110" s="8">
        <v>26</v>
      </c>
      <c r="C110" s="7">
        <v>80.489999999999995</v>
      </c>
      <c r="D110" s="7">
        <v>60.98</v>
      </c>
      <c r="E110" s="8">
        <v>19.510000000000002</v>
      </c>
      <c r="F110" s="12">
        <v>2.0037384259259262E-2</v>
      </c>
      <c r="G110" s="7">
        <v>21</v>
      </c>
    </row>
    <row r="111" spans="1:7" x14ac:dyDescent="0.2">
      <c r="A111" s="10" t="s">
        <v>92</v>
      </c>
      <c r="B111" s="11">
        <v>16.899999999999999</v>
      </c>
      <c r="C111" s="10">
        <v>70.97</v>
      </c>
      <c r="D111" s="10">
        <v>45.16</v>
      </c>
      <c r="E111" s="11">
        <v>25.81</v>
      </c>
      <c r="F111" s="13">
        <v>1.8934259259259258E-2</v>
      </c>
      <c r="G111" s="10">
        <v>19</v>
      </c>
    </row>
    <row r="112" spans="1:7" x14ac:dyDescent="0.2">
      <c r="A112" s="7" t="s">
        <v>100</v>
      </c>
      <c r="B112" s="8">
        <v>25.3</v>
      </c>
      <c r="C112" s="7">
        <v>79.59</v>
      </c>
      <c r="D112" s="7">
        <v>61.22</v>
      </c>
      <c r="E112" s="8">
        <v>18.37</v>
      </c>
      <c r="F112" s="12">
        <v>2.0918171296296296E-2</v>
      </c>
      <c r="G112" s="7">
        <v>23</v>
      </c>
    </row>
    <row r="113" spans="1:7" x14ac:dyDescent="0.2">
      <c r="A113" s="10" t="s">
        <v>64</v>
      </c>
      <c r="B113" s="11">
        <v>33.9</v>
      </c>
      <c r="C113" s="10">
        <v>90.32</v>
      </c>
      <c r="D113" s="10">
        <v>64.52</v>
      </c>
      <c r="E113" s="11">
        <v>25.81</v>
      </c>
      <c r="F113" s="13">
        <v>2.2180092592592595E-2</v>
      </c>
      <c r="G113" s="10">
        <v>13</v>
      </c>
    </row>
    <row r="114" spans="1:7" x14ac:dyDescent="0.2">
      <c r="A114" s="7" t="s">
        <v>32</v>
      </c>
      <c r="B114" s="8">
        <v>22.8</v>
      </c>
      <c r="C114" s="7">
        <v>83.87</v>
      </c>
      <c r="D114" s="7">
        <v>58.06</v>
      </c>
      <c r="E114" s="8">
        <v>25.81</v>
      </c>
      <c r="F114" s="12">
        <v>1.9400115740740739E-2</v>
      </c>
      <c r="G114" s="7">
        <v>17</v>
      </c>
    </row>
    <row r="115" spans="1:7" x14ac:dyDescent="0.2">
      <c r="A115" s="10" t="s">
        <v>17</v>
      </c>
      <c r="B115" s="11">
        <v>21.8</v>
      </c>
      <c r="C115" s="10">
        <v>83.78</v>
      </c>
      <c r="D115" s="10">
        <v>62.16</v>
      </c>
      <c r="E115" s="11">
        <v>21.62</v>
      </c>
      <c r="F115" s="13">
        <v>2.0107754629629628E-2</v>
      </c>
      <c r="G115" s="10">
        <v>17</v>
      </c>
    </row>
    <row r="116" spans="1:7" x14ac:dyDescent="0.2">
      <c r="A116" s="7" t="s">
        <v>41</v>
      </c>
      <c r="B116" s="8">
        <v>19.600000000000001</v>
      </c>
      <c r="C116" s="7">
        <v>68.42</v>
      </c>
      <c r="D116" s="7">
        <v>60.53</v>
      </c>
      <c r="E116" s="8">
        <v>7.89</v>
      </c>
      <c r="F116" s="12">
        <v>2.0747453703703705E-2</v>
      </c>
      <c r="G116" s="7">
        <v>23</v>
      </c>
    </row>
    <row r="117" spans="1:7" x14ac:dyDescent="0.2">
      <c r="A117" s="10" t="s">
        <v>20</v>
      </c>
      <c r="B117" s="11">
        <v>25.2</v>
      </c>
      <c r="C117" s="10">
        <v>75.47</v>
      </c>
      <c r="D117" s="10">
        <v>58.49</v>
      </c>
      <c r="E117" s="11">
        <v>16.98</v>
      </c>
      <c r="F117" s="13">
        <v>2.1340856481481481E-2</v>
      </c>
      <c r="G117" s="10">
        <v>28</v>
      </c>
    </row>
    <row r="118" spans="1:7" x14ac:dyDescent="0.2">
      <c r="A118" s="7" t="s">
        <v>80</v>
      </c>
      <c r="B118" s="8">
        <v>22.8</v>
      </c>
      <c r="C118" s="7">
        <v>80.56</v>
      </c>
      <c r="D118" s="7">
        <v>66.67</v>
      </c>
      <c r="E118" s="8">
        <v>13.89</v>
      </c>
      <c r="F118" s="12">
        <v>2.2951388888888886E-2</v>
      </c>
      <c r="G118" s="7">
        <v>14</v>
      </c>
    </row>
    <row r="119" spans="1:7" x14ac:dyDescent="0.2">
      <c r="A119" s="10" t="s">
        <v>29</v>
      </c>
      <c r="B119" s="11">
        <v>32.299999999999997</v>
      </c>
      <c r="C119" s="10">
        <v>75.930000000000007</v>
      </c>
      <c r="D119" s="10">
        <v>62.96</v>
      </c>
      <c r="E119" s="11">
        <v>12.96</v>
      </c>
      <c r="F119" s="13">
        <v>1.9850462962962962E-2</v>
      </c>
      <c r="G119" s="10">
        <v>27</v>
      </c>
    </row>
    <row r="120" spans="1:7" x14ac:dyDescent="0.2">
      <c r="A120" s="7" t="s">
        <v>25</v>
      </c>
      <c r="B120" s="8">
        <v>41.5</v>
      </c>
      <c r="C120" s="7">
        <v>91.18</v>
      </c>
      <c r="D120" s="7">
        <v>79.41</v>
      </c>
      <c r="E120" s="8">
        <v>11.76</v>
      </c>
      <c r="F120" s="12">
        <v>2.2884606481481481E-2</v>
      </c>
      <c r="G120" s="7">
        <v>9</v>
      </c>
    </row>
    <row r="121" spans="1:7" x14ac:dyDescent="0.2">
      <c r="A121" s="10" t="s">
        <v>106</v>
      </c>
      <c r="B121" s="11">
        <v>19.2</v>
      </c>
      <c r="C121" s="10">
        <v>66.67</v>
      </c>
      <c r="D121" s="10">
        <v>50</v>
      </c>
      <c r="E121" s="11">
        <v>16.670000000000002</v>
      </c>
      <c r="F121" s="13">
        <v>1.9283333333333333E-2</v>
      </c>
      <c r="G121" s="10">
        <v>17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/>
  <dimension ref="A1:Q121"/>
  <sheetViews>
    <sheetView workbookViewId="0">
      <selection activeCell="I2" sqref="I2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6" bestFit="1" customWidth="1"/>
    <col min="11" max="11" width="4.5" bestFit="1" customWidth="1"/>
    <col min="12" max="12" width="7.83203125" bestFit="1" customWidth="1"/>
    <col min="13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29.7</v>
      </c>
      <c r="C2" s="7">
        <v>81.48</v>
      </c>
      <c r="D2" s="7">
        <v>50</v>
      </c>
      <c r="E2" s="8">
        <v>31.48</v>
      </c>
      <c r="F2" s="12">
        <v>2.2538310185185182E-2</v>
      </c>
      <c r="G2" s="7">
        <v>12</v>
      </c>
      <c r="I2">
        <v>1</v>
      </c>
      <c r="J2" t="s">
        <v>11</v>
      </c>
      <c r="K2">
        <f>VLOOKUP($J2,Offense2009[],2)</f>
        <v>32.1</v>
      </c>
      <c r="L2">
        <f>VLOOKUP($J2,Offense2009[],3)</f>
        <v>86.44</v>
      </c>
      <c r="M2">
        <f>VLOOKUP($J2,Offense2009[],4)</f>
        <v>47.46</v>
      </c>
      <c r="N2">
        <f>VLOOKUP($J2,Offense2009[],5)</f>
        <v>38.979999999999997</v>
      </c>
      <c r="O2" s="1">
        <f>VLOOKUP($J2,Offense2009[],6)</f>
        <v>2.327546296296296E-2</v>
      </c>
      <c r="P2">
        <f>VLOOKUP($J2,Offense2009[],7)</f>
        <v>12</v>
      </c>
      <c r="Q2">
        <v>2009</v>
      </c>
    </row>
    <row r="3" spans="1:17" x14ac:dyDescent="0.2">
      <c r="A3" s="10" t="s">
        <v>103</v>
      </c>
      <c r="B3" s="11">
        <v>19.3</v>
      </c>
      <c r="C3" s="10">
        <v>65.790000000000006</v>
      </c>
      <c r="D3" s="10">
        <v>50</v>
      </c>
      <c r="E3" s="11">
        <v>15.79</v>
      </c>
      <c r="F3" s="13">
        <v>1.8894675925925926E-2</v>
      </c>
      <c r="G3" s="10">
        <v>24</v>
      </c>
      <c r="I3">
        <v>2</v>
      </c>
      <c r="J3" t="s">
        <v>61</v>
      </c>
      <c r="K3">
        <f>VLOOKUP($J3,Offense2009[],2)</f>
        <v>39.299999999999997</v>
      </c>
      <c r="L3">
        <f>VLOOKUP($J3,Offense2009[],3)</f>
        <v>93.1</v>
      </c>
      <c r="M3">
        <f>VLOOKUP($J3,Offense2009[],4)</f>
        <v>68.97</v>
      </c>
      <c r="N3">
        <f>VLOOKUP($J3,Offense2009[],5)</f>
        <v>24.14</v>
      </c>
      <c r="O3" s="1">
        <f>VLOOKUP($J3,Offense2009[],6)</f>
        <v>2.122523148148148E-2</v>
      </c>
      <c r="P3">
        <f>VLOOKUP($J3,Offense2009[],7)</f>
        <v>28</v>
      </c>
      <c r="Q3">
        <v>2009</v>
      </c>
    </row>
    <row r="4" spans="1:17" x14ac:dyDescent="0.2">
      <c r="A4" s="7" t="s">
        <v>11</v>
      </c>
      <c r="B4" s="8">
        <v>32.1</v>
      </c>
      <c r="C4" s="7">
        <v>86.44</v>
      </c>
      <c r="D4" s="7">
        <v>47.46</v>
      </c>
      <c r="E4" s="8">
        <v>38.979999999999997</v>
      </c>
      <c r="F4" s="12">
        <v>2.327546296296296E-2</v>
      </c>
      <c r="G4" s="7">
        <v>12</v>
      </c>
      <c r="I4">
        <v>3</v>
      </c>
      <c r="J4" t="s">
        <v>108</v>
      </c>
      <c r="K4">
        <f>VLOOKUP($J4,Offense2009[],2)</f>
        <v>35.9</v>
      </c>
      <c r="L4">
        <f>VLOOKUP($J4,Offense2009[],3)</f>
        <v>75</v>
      </c>
      <c r="M4">
        <f>VLOOKUP($J4,Offense2009[],4)</f>
        <v>50</v>
      </c>
      <c r="N4">
        <f>VLOOKUP($J4,Offense2009[],5)</f>
        <v>25</v>
      </c>
      <c r="O4" s="1">
        <f>VLOOKUP($J4,Offense2009[],6)</f>
        <v>2.144837962962963E-2</v>
      </c>
      <c r="P4">
        <f>VLOOKUP($J4,Offense2009[],7)</f>
        <v>16</v>
      </c>
      <c r="Q4">
        <v>2009</v>
      </c>
    </row>
    <row r="5" spans="1:17" x14ac:dyDescent="0.2">
      <c r="A5" s="10" t="s">
        <v>5</v>
      </c>
      <c r="B5" s="11">
        <v>27.4</v>
      </c>
      <c r="C5" s="10">
        <v>77.78</v>
      </c>
      <c r="D5" s="10">
        <v>51.85</v>
      </c>
      <c r="E5" s="11">
        <v>25.93</v>
      </c>
      <c r="F5" s="13">
        <v>2.2667361111111107E-2</v>
      </c>
      <c r="G5" s="10">
        <v>20</v>
      </c>
      <c r="I5">
        <v>4</v>
      </c>
      <c r="J5" t="s">
        <v>33</v>
      </c>
      <c r="K5">
        <f>VLOOKUP($J5,Offense2009[],2)</f>
        <v>42.2</v>
      </c>
      <c r="L5">
        <f>VLOOKUP($J5,Offense2009[],3)</f>
        <v>84.81</v>
      </c>
      <c r="M5">
        <f>VLOOKUP($J5,Offense2009[],4)</f>
        <v>62.03</v>
      </c>
      <c r="N5">
        <f>VLOOKUP($J5,Offense2009[],5)</f>
        <v>22.78</v>
      </c>
      <c r="O5" s="1">
        <f>VLOOKUP($J5,Offense2009[],6)</f>
        <v>2.1231018518518521E-2</v>
      </c>
      <c r="P5">
        <f>VLOOKUP($J5,Offense2009[],7)</f>
        <v>14</v>
      </c>
      <c r="Q5">
        <v>2009</v>
      </c>
    </row>
    <row r="6" spans="1:17" x14ac:dyDescent="0.2">
      <c r="A6" s="7" t="s">
        <v>38</v>
      </c>
      <c r="B6" s="8">
        <v>22.3</v>
      </c>
      <c r="C6" s="7">
        <v>76.739999999999995</v>
      </c>
      <c r="D6" s="7">
        <v>51.16</v>
      </c>
      <c r="E6" s="8">
        <v>25.58</v>
      </c>
      <c r="F6" s="12">
        <v>2.1268287037037037E-2</v>
      </c>
      <c r="G6" s="7">
        <v>26</v>
      </c>
      <c r="I6">
        <v>5</v>
      </c>
      <c r="J6" t="s">
        <v>4</v>
      </c>
      <c r="K6">
        <f>VLOOKUP($J6,Offense2009[],2)</f>
        <v>29</v>
      </c>
      <c r="L6">
        <f>VLOOKUP($J6,Offense2009[],3)</f>
        <v>79.17</v>
      </c>
      <c r="M6">
        <f>VLOOKUP($J6,Offense2009[],4)</f>
        <v>52.08</v>
      </c>
      <c r="N6">
        <f>VLOOKUP($J6,Offense2009[],5)</f>
        <v>27.08</v>
      </c>
      <c r="O6" s="1">
        <f>VLOOKUP($J6,Offense2009[],6)</f>
        <v>2.1871412037037036E-2</v>
      </c>
      <c r="P6">
        <f>VLOOKUP($J6,Offense2009[],7)</f>
        <v>18</v>
      </c>
      <c r="Q6">
        <v>2009</v>
      </c>
    </row>
    <row r="7" spans="1:17" x14ac:dyDescent="0.2">
      <c r="A7" s="10" t="s">
        <v>63</v>
      </c>
      <c r="B7" s="11">
        <v>36</v>
      </c>
      <c r="C7" s="10">
        <v>95.92</v>
      </c>
      <c r="D7" s="10">
        <v>71.430000000000007</v>
      </c>
      <c r="E7" s="11">
        <v>24.49</v>
      </c>
      <c r="F7" s="13">
        <v>2.0021412037037039E-2</v>
      </c>
      <c r="G7" s="10">
        <v>15</v>
      </c>
      <c r="I7">
        <v>6</v>
      </c>
      <c r="J7" t="s">
        <v>27</v>
      </c>
      <c r="K7">
        <f>VLOOKUP($J7,Offense2009[],2)</f>
        <v>38.299999999999997</v>
      </c>
      <c r="L7">
        <f>VLOOKUP($J7,Offense2009[],3)</f>
        <v>85</v>
      </c>
      <c r="M7">
        <f>VLOOKUP($J7,Offense2009[],4)</f>
        <v>65</v>
      </c>
      <c r="N7">
        <f>VLOOKUP($J7,Offense2009[],5)</f>
        <v>20</v>
      </c>
      <c r="O7" s="1">
        <f>VLOOKUP($J7,Offense2009[],6)</f>
        <v>2.2078009259259259E-2</v>
      </c>
      <c r="P7">
        <f>VLOOKUP($J7,Offense2009[],7)</f>
        <v>23</v>
      </c>
      <c r="Q7">
        <v>2009</v>
      </c>
    </row>
    <row r="8" spans="1:17" x14ac:dyDescent="0.2">
      <c r="A8" s="7" t="s">
        <v>8</v>
      </c>
      <c r="B8" s="8">
        <v>22.7</v>
      </c>
      <c r="C8" s="7">
        <v>78.849999999999994</v>
      </c>
      <c r="D8" s="7">
        <v>53.85</v>
      </c>
      <c r="E8" s="8">
        <v>25</v>
      </c>
      <c r="F8" s="12">
        <v>2.0698263888888888E-2</v>
      </c>
      <c r="G8" s="7">
        <v>24</v>
      </c>
      <c r="I8">
        <v>7</v>
      </c>
      <c r="J8" t="s">
        <v>68</v>
      </c>
      <c r="K8">
        <f>VLOOKUP($J8,Offense2009[],2)</f>
        <v>23.2</v>
      </c>
      <c r="L8">
        <f>VLOOKUP($J8,Offense2009[],3)</f>
        <v>84.21</v>
      </c>
      <c r="M8">
        <f>VLOOKUP($J8,Offense2009[],4)</f>
        <v>52.63</v>
      </c>
      <c r="N8">
        <f>VLOOKUP($J8,Offense2009[],5)</f>
        <v>31.58</v>
      </c>
      <c r="O8" s="1">
        <f>VLOOKUP($J8,Offense2009[],6)</f>
        <v>2.1510879629629626E-2</v>
      </c>
      <c r="P8">
        <f>VLOOKUP($J8,Offense2009[],7)</f>
        <v>28</v>
      </c>
      <c r="Q8">
        <v>2009</v>
      </c>
    </row>
    <row r="9" spans="1:17" x14ac:dyDescent="0.2">
      <c r="A9" s="10" t="s">
        <v>42</v>
      </c>
      <c r="B9" s="11">
        <v>15.3</v>
      </c>
      <c r="C9" s="10">
        <v>71.05</v>
      </c>
      <c r="D9" s="10">
        <v>42.11</v>
      </c>
      <c r="E9" s="11">
        <v>28.95</v>
      </c>
      <c r="F9" s="13">
        <v>2.2190393518518519E-2</v>
      </c>
      <c r="G9" s="10">
        <v>19</v>
      </c>
      <c r="I9">
        <v>8</v>
      </c>
      <c r="J9" t="s">
        <v>110</v>
      </c>
      <c r="K9">
        <f>VLOOKUP($J9,Offense2009[],2)</f>
        <v>38.6</v>
      </c>
      <c r="L9">
        <f>VLOOKUP($J9,Offense2009[],3)</f>
        <v>87.93</v>
      </c>
      <c r="M9">
        <f>VLOOKUP($J9,Offense2009[],4)</f>
        <v>72.41</v>
      </c>
      <c r="N9">
        <f>VLOOKUP($J9,Offense2009[],5)</f>
        <v>15.52</v>
      </c>
      <c r="O9" s="1">
        <f>VLOOKUP($J9,Offense2009[],6)</f>
        <v>1.7898842592592595E-2</v>
      </c>
      <c r="P9">
        <f>VLOOKUP($J9,Offense2009[],7)</f>
        <v>10</v>
      </c>
      <c r="Q9">
        <v>2009</v>
      </c>
    </row>
    <row r="10" spans="1:17" x14ac:dyDescent="0.2">
      <c r="A10" s="7" t="s">
        <v>19</v>
      </c>
      <c r="B10" s="8">
        <v>33.299999999999997</v>
      </c>
      <c r="C10" s="7">
        <v>95.12</v>
      </c>
      <c r="D10" s="7">
        <v>70.73</v>
      </c>
      <c r="E10" s="8">
        <v>24.39</v>
      </c>
      <c r="F10" s="12">
        <v>2.0292939814814812E-2</v>
      </c>
      <c r="G10" s="7">
        <v>23</v>
      </c>
      <c r="I10">
        <v>9</v>
      </c>
      <c r="J10" t="s">
        <v>6</v>
      </c>
      <c r="K10">
        <f>VLOOKUP($J10,Offense2009[],2)</f>
        <v>28.8</v>
      </c>
      <c r="L10">
        <f>VLOOKUP($J10,Offense2009[],3)</f>
        <v>84.91</v>
      </c>
      <c r="M10">
        <f>VLOOKUP($J10,Offense2009[],4)</f>
        <v>58.49</v>
      </c>
      <c r="N10">
        <f>VLOOKUP($J10,Offense2009[],5)</f>
        <v>26.42</v>
      </c>
      <c r="O10" s="1">
        <f>VLOOKUP($J10,Offense2009[],6)</f>
        <v>2.2646064814814817E-2</v>
      </c>
      <c r="P10">
        <f>VLOOKUP($J10,Offense2009[],7)</f>
        <v>17</v>
      </c>
      <c r="Q10">
        <v>2009</v>
      </c>
    </row>
    <row r="11" spans="1:17" x14ac:dyDescent="0.2">
      <c r="A11" s="10" t="s">
        <v>120</v>
      </c>
      <c r="B11" s="11">
        <v>19.2</v>
      </c>
      <c r="C11" s="10">
        <v>77.78</v>
      </c>
      <c r="D11" s="10">
        <v>38.89</v>
      </c>
      <c r="E11" s="11">
        <v>38.89</v>
      </c>
      <c r="F11" s="13">
        <v>1.9955671296296298E-2</v>
      </c>
      <c r="G11" s="10">
        <v>26</v>
      </c>
      <c r="I11">
        <v>10</v>
      </c>
      <c r="J11" t="s">
        <v>64</v>
      </c>
      <c r="K11">
        <f>VLOOKUP($J11,Offense2009[],2)</f>
        <v>31.8</v>
      </c>
      <c r="L11">
        <f>VLOOKUP($J11,Offense2009[],3)</f>
        <v>88.68</v>
      </c>
      <c r="M11">
        <f>VLOOKUP($J11,Offense2009[],4)</f>
        <v>60.38</v>
      </c>
      <c r="N11">
        <f>VLOOKUP($J11,Offense2009[],5)</f>
        <v>28.3</v>
      </c>
      <c r="O11" s="1">
        <f>VLOOKUP($J11,Offense2009[],6)</f>
        <v>2.1081712962962962E-2</v>
      </c>
      <c r="P11">
        <f>VLOOKUP($J11,Offense2009[],7)</f>
        <v>15</v>
      </c>
      <c r="Q11">
        <v>2009</v>
      </c>
    </row>
    <row r="12" spans="1:17" x14ac:dyDescent="0.2">
      <c r="A12" s="7" t="s">
        <v>94</v>
      </c>
      <c r="B12" s="8">
        <v>20.8</v>
      </c>
      <c r="C12" s="7">
        <v>65</v>
      </c>
      <c r="D12" s="7">
        <v>47.5</v>
      </c>
      <c r="E12" s="8">
        <v>17.5</v>
      </c>
      <c r="F12" s="12">
        <v>1.9027777777777779E-2</v>
      </c>
      <c r="G12" s="7">
        <v>23</v>
      </c>
      <c r="I12">
        <v>11</v>
      </c>
      <c r="J12" t="s">
        <v>18</v>
      </c>
      <c r="K12">
        <f>VLOOKUP($J12,Offense2009[],2)</f>
        <v>36.1</v>
      </c>
      <c r="L12">
        <f>VLOOKUP($J12,Offense2009[],3)</f>
        <v>92.98</v>
      </c>
      <c r="M12">
        <f>VLOOKUP($J12,Offense2009[],4)</f>
        <v>71.930000000000007</v>
      </c>
      <c r="N12">
        <f>VLOOKUP($J12,Offense2009[],5)</f>
        <v>21.05</v>
      </c>
      <c r="O12" s="1">
        <f>VLOOKUP($J12,Offense2009[],6)</f>
        <v>1.8268287037037038E-2</v>
      </c>
      <c r="P12">
        <f>VLOOKUP($J12,Offense2009[],7)</f>
        <v>23</v>
      </c>
      <c r="Q12">
        <v>2009</v>
      </c>
    </row>
    <row r="13" spans="1:17" x14ac:dyDescent="0.2">
      <c r="A13" s="10" t="s">
        <v>33</v>
      </c>
      <c r="B13" s="11">
        <v>42.2</v>
      </c>
      <c r="C13" s="10">
        <v>84.81</v>
      </c>
      <c r="D13" s="10">
        <v>62.03</v>
      </c>
      <c r="E13" s="11">
        <v>22.78</v>
      </c>
      <c r="F13" s="13">
        <v>2.1231018518518521E-2</v>
      </c>
      <c r="G13" s="10">
        <v>14</v>
      </c>
      <c r="I13">
        <v>12</v>
      </c>
      <c r="J13" t="s">
        <v>122</v>
      </c>
      <c r="K13">
        <f>VLOOKUP($J13,Offense2009[],2)</f>
        <v>35.5</v>
      </c>
      <c r="L13">
        <f>VLOOKUP($J13,Offense2009[],3)</f>
        <v>88.52</v>
      </c>
      <c r="M13">
        <f>VLOOKUP($J13,Offense2009[],4)</f>
        <v>77.05</v>
      </c>
      <c r="N13">
        <f>VLOOKUP($J13,Offense2009[],5)</f>
        <v>11.48</v>
      </c>
      <c r="O13" s="1">
        <f>VLOOKUP($J13,Offense2009[],6)</f>
        <v>2.1420949074074075E-2</v>
      </c>
      <c r="P13">
        <f>VLOOKUP($J13,Offense2009[],7)</f>
        <v>24</v>
      </c>
      <c r="Q13">
        <v>2009</v>
      </c>
    </row>
    <row r="14" spans="1:17" x14ac:dyDescent="0.2">
      <c r="A14" s="7" t="s">
        <v>79</v>
      </c>
      <c r="B14" s="8">
        <v>24.8</v>
      </c>
      <c r="C14" s="7">
        <v>88.64</v>
      </c>
      <c r="D14" s="7">
        <v>61.36</v>
      </c>
      <c r="E14" s="8">
        <v>27.27</v>
      </c>
      <c r="F14" s="12">
        <v>2.0358796296296295E-2</v>
      </c>
      <c r="G14" s="7">
        <v>26</v>
      </c>
      <c r="I14">
        <v>13</v>
      </c>
      <c r="J14" t="s">
        <v>71</v>
      </c>
      <c r="K14">
        <f>VLOOKUP($J14,Offense2009[],2)</f>
        <v>33.799999999999997</v>
      </c>
      <c r="L14">
        <f>VLOOKUP($J14,Offense2009[],3)</f>
        <v>80.650000000000006</v>
      </c>
      <c r="M14">
        <f>VLOOKUP($J14,Offense2009[],4)</f>
        <v>64.52</v>
      </c>
      <c r="N14">
        <f>VLOOKUP($J14,Offense2009[],5)</f>
        <v>16.13</v>
      </c>
      <c r="O14" s="1">
        <f>VLOOKUP($J14,Offense2009[],6)</f>
        <v>2.3485416666666672E-2</v>
      </c>
      <c r="P14">
        <f>VLOOKUP($J14,Offense2009[],7)</f>
        <v>18</v>
      </c>
      <c r="Q14">
        <v>2009</v>
      </c>
    </row>
    <row r="15" spans="1:17" x14ac:dyDescent="0.2">
      <c r="A15" s="10" t="s">
        <v>87</v>
      </c>
      <c r="B15" s="11">
        <v>28.5</v>
      </c>
      <c r="C15" s="10">
        <v>68.12</v>
      </c>
      <c r="D15" s="10">
        <v>50.72</v>
      </c>
      <c r="E15" s="11">
        <v>17.39</v>
      </c>
      <c r="F15" s="13">
        <v>2.1727199074074072E-2</v>
      </c>
      <c r="G15" s="10">
        <v>15</v>
      </c>
      <c r="I15">
        <v>14</v>
      </c>
      <c r="J15" t="s">
        <v>139</v>
      </c>
      <c r="K15">
        <f>VLOOKUP($J15,Offense2009[],2)</f>
        <v>28</v>
      </c>
      <c r="L15">
        <f>VLOOKUP($J15,Offense2009[],3)</f>
        <v>82.46</v>
      </c>
      <c r="M15">
        <f>VLOOKUP($J15,Offense2009[],4)</f>
        <v>70.180000000000007</v>
      </c>
      <c r="N15">
        <f>VLOOKUP($J15,Offense2009[],5)</f>
        <v>12.28</v>
      </c>
      <c r="O15" s="1">
        <f>VLOOKUP($J15,Offense2009[],6)</f>
        <v>2.3548263888888889E-2</v>
      </c>
      <c r="P15">
        <f>VLOOKUP($J15,Offense2009[],7)</f>
        <v>14</v>
      </c>
      <c r="Q15">
        <v>2009</v>
      </c>
    </row>
    <row r="16" spans="1:17" x14ac:dyDescent="0.2">
      <c r="A16" s="7" t="s">
        <v>66</v>
      </c>
      <c r="B16" s="8">
        <v>24.1</v>
      </c>
      <c r="C16" s="7">
        <v>78.05</v>
      </c>
      <c r="D16" s="7">
        <v>53.66</v>
      </c>
      <c r="E16" s="8">
        <v>24.39</v>
      </c>
      <c r="F16" s="12">
        <v>2.0535300925925926E-2</v>
      </c>
      <c r="G16" s="7">
        <v>25</v>
      </c>
      <c r="I16">
        <v>15</v>
      </c>
      <c r="J16" t="s">
        <v>99</v>
      </c>
      <c r="K16">
        <f>VLOOKUP($J16,Offense2009[],2)</f>
        <v>32.1</v>
      </c>
      <c r="L16">
        <f>VLOOKUP($J16,Offense2009[],3)</f>
        <v>91.38</v>
      </c>
      <c r="M16">
        <f>VLOOKUP($J16,Offense2009[],4)</f>
        <v>56.9</v>
      </c>
      <c r="N16">
        <f>VLOOKUP($J16,Offense2009[],5)</f>
        <v>34.479999999999997</v>
      </c>
      <c r="O16" s="1">
        <f>VLOOKUP($J16,Offense2009[],6)</f>
        <v>2.1485879629629629E-2</v>
      </c>
      <c r="P16">
        <f>VLOOKUP($J16,Offense2009[],7)</f>
        <v>14</v>
      </c>
      <c r="Q16">
        <v>2009</v>
      </c>
    </row>
    <row r="17" spans="1:17" x14ac:dyDescent="0.2">
      <c r="A17" s="10" t="s">
        <v>122</v>
      </c>
      <c r="B17" s="11">
        <v>35.5</v>
      </c>
      <c r="C17" s="10">
        <v>88.52</v>
      </c>
      <c r="D17" s="10">
        <v>77.05</v>
      </c>
      <c r="E17" s="11">
        <v>11.48</v>
      </c>
      <c r="F17" s="13">
        <v>2.1420949074074075E-2</v>
      </c>
      <c r="G17" s="10">
        <v>24</v>
      </c>
      <c r="I17">
        <v>16</v>
      </c>
      <c r="J17" t="s">
        <v>25</v>
      </c>
      <c r="K17">
        <f>VLOOKUP($J17,Offense2009[],2)</f>
        <v>31.8</v>
      </c>
      <c r="L17">
        <f>VLOOKUP($J17,Offense2009[],3)</f>
        <v>91.38</v>
      </c>
      <c r="M17">
        <f>VLOOKUP($J17,Offense2009[],4)</f>
        <v>72.41</v>
      </c>
      <c r="N17">
        <f>VLOOKUP($J17,Offense2009[],5)</f>
        <v>18.97</v>
      </c>
      <c r="O17" s="1">
        <f>VLOOKUP($J17,Offense2009[],6)</f>
        <v>2.3550578703703706E-2</v>
      </c>
      <c r="P17">
        <f>VLOOKUP($J17,Offense2009[],7)</f>
        <v>24</v>
      </c>
      <c r="Q17">
        <v>2009</v>
      </c>
    </row>
    <row r="18" spans="1:17" x14ac:dyDescent="0.2">
      <c r="A18" s="7" t="s">
        <v>72</v>
      </c>
      <c r="B18" s="8">
        <v>29.1</v>
      </c>
      <c r="C18" s="7">
        <v>83.33</v>
      </c>
      <c r="D18" s="7">
        <v>57.14</v>
      </c>
      <c r="E18" s="8">
        <v>26.19</v>
      </c>
      <c r="F18" s="12">
        <v>2.0258217592592592E-2</v>
      </c>
      <c r="G18" s="7">
        <v>17</v>
      </c>
      <c r="I18">
        <v>17</v>
      </c>
      <c r="J18" t="s">
        <v>70</v>
      </c>
      <c r="K18">
        <f>VLOOKUP($J18,Offense2009[],2)</f>
        <v>24.8</v>
      </c>
      <c r="L18">
        <f>VLOOKUP($J18,Offense2009[],3)</f>
        <v>87.8</v>
      </c>
      <c r="M18">
        <f>VLOOKUP($J18,Offense2009[],4)</f>
        <v>60.98</v>
      </c>
      <c r="N18">
        <f>VLOOKUP($J18,Offense2009[],5)</f>
        <v>26.83</v>
      </c>
      <c r="O18" s="1">
        <f>VLOOKUP($J18,Offense2009[],6)</f>
        <v>1.9326041666666665E-2</v>
      </c>
      <c r="P18">
        <f>VLOOKUP($J18,Offense2009[],7)</f>
        <v>14</v>
      </c>
      <c r="Q18">
        <v>2009</v>
      </c>
    </row>
    <row r="19" spans="1:17" x14ac:dyDescent="0.2">
      <c r="A19" s="10" t="s">
        <v>54</v>
      </c>
      <c r="B19" s="11">
        <v>33.9</v>
      </c>
      <c r="C19" s="10">
        <v>90.91</v>
      </c>
      <c r="D19" s="10">
        <v>72.73</v>
      </c>
      <c r="E19" s="11">
        <v>18.18</v>
      </c>
      <c r="F19" s="13">
        <v>2.1064814814814814E-2</v>
      </c>
      <c r="G19" s="10">
        <v>15</v>
      </c>
      <c r="I19">
        <v>18</v>
      </c>
      <c r="J19" t="s">
        <v>57</v>
      </c>
      <c r="K19">
        <f>VLOOKUP($J19,Offense2009[],2)</f>
        <v>29.8</v>
      </c>
      <c r="L19">
        <f>VLOOKUP($J19,Offense2009[],3)</f>
        <v>83.67</v>
      </c>
      <c r="M19">
        <f>VLOOKUP($J19,Offense2009[],4)</f>
        <v>53.06</v>
      </c>
      <c r="N19">
        <f>VLOOKUP($J19,Offense2009[],5)</f>
        <v>30.61</v>
      </c>
      <c r="O19" s="1">
        <f>VLOOKUP($J19,Offense2009[],6)</f>
        <v>2.1569675925925926E-2</v>
      </c>
      <c r="P19">
        <f>VLOOKUP($J19,Offense2009[],7)</f>
        <v>20</v>
      </c>
      <c r="Q19">
        <v>2009</v>
      </c>
    </row>
    <row r="20" spans="1:17" x14ac:dyDescent="0.2">
      <c r="A20" s="7" t="s">
        <v>110</v>
      </c>
      <c r="B20" s="8">
        <v>38.6</v>
      </c>
      <c r="C20" s="7">
        <v>87.93</v>
      </c>
      <c r="D20" s="7">
        <v>72.41</v>
      </c>
      <c r="E20" s="8">
        <v>15.52</v>
      </c>
      <c r="F20" s="12">
        <v>1.7898842592592595E-2</v>
      </c>
      <c r="G20" s="7">
        <v>10</v>
      </c>
      <c r="I20">
        <v>19</v>
      </c>
      <c r="J20" t="s">
        <v>39</v>
      </c>
      <c r="K20">
        <f>VLOOKUP($J20,Offense2009[],2)</f>
        <v>30.3</v>
      </c>
      <c r="L20">
        <f>VLOOKUP($J20,Offense2009[],3)</f>
        <v>80</v>
      </c>
      <c r="M20">
        <f>VLOOKUP($J20,Offense2009[],4)</f>
        <v>61.82</v>
      </c>
      <c r="N20">
        <f>VLOOKUP($J20,Offense2009[],5)</f>
        <v>18.18</v>
      </c>
      <c r="O20" s="1">
        <f>VLOOKUP($J20,Offense2009[],6)</f>
        <v>2.1011342592592592E-2</v>
      </c>
      <c r="P20">
        <f>VLOOKUP($J20,Offense2009[],7)</f>
        <v>21</v>
      </c>
      <c r="Q20">
        <v>2009</v>
      </c>
    </row>
    <row r="21" spans="1:17" x14ac:dyDescent="0.2">
      <c r="A21" s="10" t="s">
        <v>24</v>
      </c>
      <c r="B21" s="11">
        <v>31.1</v>
      </c>
      <c r="C21" s="10">
        <v>80.39</v>
      </c>
      <c r="D21" s="10">
        <v>54.9</v>
      </c>
      <c r="E21" s="11">
        <v>25.49</v>
      </c>
      <c r="F21" s="13">
        <v>1.934189814814815E-2</v>
      </c>
      <c r="G21" s="10">
        <v>24</v>
      </c>
      <c r="I21">
        <v>20</v>
      </c>
      <c r="J21" t="s">
        <v>34</v>
      </c>
      <c r="K21">
        <f>VLOOKUP($J21,Offense2009[],2)</f>
        <v>29.5</v>
      </c>
      <c r="L21">
        <f>VLOOKUP($J21,Offense2009[],3)</f>
        <v>88.37</v>
      </c>
      <c r="M21">
        <f>VLOOKUP($J21,Offense2009[],4)</f>
        <v>62.79</v>
      </c>
      <c r="N21">
        <f>VLOOKUP($J21,Offense2009[],5)</f>
        <v>25.58</v>
      </c>
      <c r="O21" s="1">
        <f>VLOOKUP($J21,Offense2009[],6)</f>
        <v>2.0718518518518518E-2</v>
      </c>
      <c r="P21">
        <f>VLOOKUP($J21,Offense2009[],7)</f>
        <v>31</v>
      </c>
      <c r="Q21">
        <v>2009</v>
      </c>
    </row>
    <row r="22" spans="1:17" x14ac:dyDescent="0.2">
      <c r="A22" s="7" t="s">
        <v>77</v>
      </c>
      <c r="B22" s="8">
        <v>22.3</v>
      </c>
      <c r="C22" s="7">
        <v>79.069999999999993</v>
      </c>
      <c r="D22" s="7">
        <v>60.47</v>
      </c>
      <c r="E22" s="8">
        <v>18.600000000000001</v>
      </c>
      <c r="F22" s="12">
        <v>2.0863194444444445E-2</v>
      </c>
      <c r="G22" s="7">
        <v>31</v>
      </c>
      <c r="I22">
        <v>21</v>
      </c>
      <c r="J22" t="s">
        <v>28</v>
      </c>
      <c r="K22">
        <f>VLOOKUP($J22,Offense2009[],2)</f>
        <v>37</v>
      </c>
      <c r="L22">
        <f>VLOOKUP($J22,Offense2009[],3)</f>
        <v>85.25</v>
      </c>
      <c r="M22">
        <f>VLOOKUP($J22,Offense2009[],4)</f>
        <v>70.489999999999995</v>
      </c>
      <c r="N22">
        <f>VLOOKUP($J22,Offense2009[],5)</f>
        <v>14.75</v>
      </c>
      <c r="O22" s="1">
        <f>VLOOKUP($J22,Offense2009[],6)</f>
        <v>2.007662037037037E-2</v>
      </c>
      <c r="P22">
        <f>VLOOKUP($J22,Offense2009[],7)</f>
        <v>30</v>
      </c>
      <c r="Q22">
        <v>2009</v>
      </c>
    </row>
    <row r="23" spans="1:17" x14ac:dyDescent="0.2">
      <c r="A23" s="10" t="s">
        <v>30</v>
      </c>
      <c r="B23" s="11">
        <v>21.7</v>
      </c>
      <c r="C23" s="10">
        <v>80</v>
      </c>
      <c r="D23" s="10">
        <v>60</v>
      </c>
      <c r="E23" s="11">
        <v>20</v>
      </c>
      <c r="F23" s="13">
        <v>2.0728240740740742E-2</v>
      </c>
      <c r="G23" s="10">
        <v>18</v>
      </c>
      <c r="I23">
        <v>22</v>
      </c>
      <c r="J23" t="s">
        <v>26</v>
      </c>
      <c r="K23">
        <f>VLOOKUP($J23,Offense2009[],2)</f>
        <v>26.5</v>
      </c>
      <c r="L23">
        <f>VLOOKUP($J23,Offense2009[],3)</f>
        <v>86.05</v>
      </c>
      <c r="M23">
        <f>VLOOKUP($J23,Offense2009[],4)</f>
        <v>62.79</v>
      </c>
      <c r="N23">
        <f>VLOOKUP($J23,Offense2009[],5)</f>
        <v>23.26</v>
      </c>
      <c r="O23" s="1">
        <f>VLOOKUP($J23,Offense2009[],6)</f>
        <v>2.0258217592592592E-2</v>
      </c>
      <c r="P23">
        <f>VLOOKUP($J23,Offense2009[],7)</f>
        <v>22</v>
      </c>
      <c r="Q23">
        <v>2009</v>
      </c>
    </row>
    <row r="24" spans="1:17" x14ac:dyDescent="0.2">
      <c r="A24" s="7" t="s">
        <v>101</v>
      </c>
      <c r="B24" s="8">
        <v>31.2</v>
      </c>
      <c r="C24" s="7">
        <v>83.67</v>
      </c>
      <c r="D24" s="7">
        <v>67.349999999999994</v>
      </c>
      <c r="E24" s="8">
        <v>16.329999999999998</v>
      </c>
      <c r="F24" s="12">
        <v>2.0272453703703706E-2</v>
      </c>
      <c r="G24" s="7">
        <v>22</v>
      </c>
      <c r="I24">
        <v>23</v>
      </c>
      <c r="J24" t="s">
        <v>54</v>
      </c>
      <c r="K24">
        <f>VLOOKUP($J24,Offense2009[],2)</f>
        <v>33.9</v>
      </c>
      <c r="L24">
        <f>VLOOKUP($J24,Offense2009[],3)</f>
        <v>90.91</v>
      </c>
      <c r="M24">
        <f>VLOOKUP($J24,Offense2009[],4)</f>
        <v>72.73</v>
      </c>
      <c r="N24">
        <f>VLOOKUP($J24,Offense2009[],5)</f>
        <v>18.18</v>
      </c>
      <c r="O24" s="1">
        <f>VLOOKUP($J24,Offense2009[],6)</f>
        <v>2.1064814814814814E-2</v>
      </c>
      <c r="P24">
        <f>VLOOKUP($J24,Offense2009[],7)</f>
        <v>15</v>
      </c>
      <c r="Q24">
        <v>2009</v>
      </c>
    </row>
    <row r="25" spans="1:17" x14ac:dyDescent="0.2">
      <c r="A25" s="10" t="s">
        <v>85</v>
      </c>
      <c r="B25" s="11">
        <v>25.2</v>
      </c>
      <c r="C25" s="10">
        <v>82.05</v>
      </c>
      <c r="D25" s="10">
        <v>46.15</v>
      </c>
      <c r="E25" s="11">
        <v>35.9</v>
      </c>
      <c r="F25" s="13">
        <v>2.0277777777777777E-2</v>
      </c>
      <c r="G25" s="10">
        <v>16</v>
      </c>
      <c r="I25">
        <v>24</v>
      </c>
      <c r="J25" t="s">
        <v>24</v>
      </c>
      <c r="K25">
        <f>VLOOKUP($J25,Offense2009[],2)</f>
        <v>31.1</v>
      </c>
      <c r="L25">
        <f>VLOOKUP($J25,Offense2009[],3)</f>
        <v>80.39</v>
      </c>
      <c r="M25">
        <f>VLOOKUP($J25,Offense2009[],4)</f>
        <v>54.9</v>
      </c>
      <c r="N25">
        <f>VLOOKUP($J25,Offense2009[],5)</f>
        <v>25.49</v>
      </c>
      <c r="O25" s="1">
        <f>VLOOKUP($J25,Offense2009[],6)</f>
        <v>1.934189814814815E-2</v>
      </c>
      <c r="P25">
        <f>VLOOKUP($J25,Offense2009[],7)</f>
        <v>24</v>
      </c>
      <c r="Q25">
        <v>2009</v>
      </c>
    </row>
    <row r="26" spans="1:17" x14ac:dyDescent="0.2">
      <c r="A26" s="7" t="s">
        <v>89</v>
      </c>
      <c r="B26" s="8">
        <v>27</v>
      </c>
      <c r="C26" s="7">
        <v>81.48</v>
      </c>
      <c r="D26" s="7">
        <v>50</v>
      </c>
      <c r="E26" s="8">
        <v>31.48</v>
      </c>
      <c r="F26" s="12">
        <v>2.1496412037037036E-2</v>
      </c>
      <c r="G26" s="7">
        <v>22</v>
      </c>
      <c r="I26">
        <v>25</v>
      </c>
      <c r="J26" t="s">
        <v>20</v>
      </c>
      <c r="K26">
        <f>VLOOKUP($J26,Offense2009[],2)</f>
        <v>26.2</v>
      </c>
      <c r="L26">
        <f>VLOOKUP($J26,Offense2009[],3)</f>
        <v>78.72</v>
      </c>
      <c r="M26">
        <f>VLOOKUP($J26,Offense2009[],4)</f>
        <v>63.83</v>
      </c>
      <c r="N26">
        <f>VLOOKUP($J26,Offense2009[],5)</f>
        <v>14.89</v>
      </c>
      <c r="O26" s="1">
        <f>VLOOKUP($J26,Offense2009[],6)</f>
        <v>2.1011342592592592E-2</v>
      </c>
      <c r="P26">
        <f>VLOOKUP($J26,Offense2009[],7)</f>
        <v>25</v>
      </c>
      <c r="Q26">
        <v>2009</v>
      </c>
    </row>
    <row r="27" spans="1:17" x14ac:dyDescent="0.2">
      <c r="A27" s="10" t="s">
        <v>81</v>
      </c>
      <c r="B27" s="11">
        <v>16.399999999999999</v>
      </c>
      <c r="C27" s="10">
        <v>71.430000000000007</v>
      </c>
      <c r="D27" s="10">
        <v>51.43</v>
      </c>
      <c r="E27" s="11">
        <v>20</v>
      </c>
      <c r="F27" s="13">
        <v>2.1391782407407408E-2</v>
      </c>
      <c r="G27" s="10">
        <v>26</v>
      </c>
    </row>
    <row r="28" spans="1:17" x14ac:dyDescent="0.2">
      <c r="A28" s="7" t="s">
        <v>108</v>
      </c>
      <c r="B28" s="8">
        <v>35.9</v>
      </c>
      <c r="C28" s="7">
        <v>75</v>
      </c>
      <c r="D28" s="7">
        <v>50</v>
      </c>
      <c r="E28" s="8">
        <v>25</v>
      </c>
      <c r="F28" s="12">
        <v>2.144837962962963E-2</v>
      </c>
      <c r="G28" s="7">
        <v>16</v>
      </c>
    </row>
    <row r="29" spans="1:17" x14ac:dyDescent="0.2">
      <c r="A29" s="10" t="s">
        <v>9</v>
      </c>
      <c r="B29" s="11">
        <v>27.4</v>
      </c>
      <c r="C29" s="10">
        <v>84.44</v>
      </c>
      <c r="D29" s="10">
        <v>71.11</v>
      </c>
      <c r="E29" s="11">
        <v>13.33</v>
      </c>
      <c r="F29" s="13">
        <v>2.200034722222222E-2</v>
      </c>
      <c r="G29" s="10">
        <v>15</v>
      </c>
    </row>
    <row r="30" spans="1:17" x14ac:dyDescent="0.2">
      <c r="A30" s="7" t="s">
        <v>95</v>
      </c>
      <c r="B30" s="8">
        <v>22.9</v>
      </c>
      <c r="C30" s="7">
        <v>78.260000000000005</v>
      </c>
      <c r="D30" s="7">
        <v>60.87</v>
      </c>
      <c r="E30" s="8">
        <v>17.39</v>
      </c>
      <c r="F30" s="12">
        <v>1.8642013888888889E-2</v>
      </c>
      <c r="G30" s="7">
        <v>21</v>
      </c>
    </row>
    <row r="31" spans="1:17" x14ac:dyDescent="0.2">
      <c r="A31" s="10" t="s">
        <v>88</v>
      </c>
      <c r="B31" s="11">
        <v>30.1</v>
      </c>
      <c r="C31" s="10">
        <v>80.7</v>
      </c>
      <c r="D31" s="10">
        <v>63.16</v>
      </c>
      <c r="E31" s="11">
        <v>17.54</v>
      </c>
      <c r="F31" s="13">
        <v>2.1367476851851853E-2</v>
      </c>
      <c r="G31" s="10">
        <v>26</v>
      </c>
    </row>
    <row r="32" spans="1:17" x14ac:dyDescent="0.2">
      <c r="A32" s="7" t="s">
        <v>73</v>
      </c>
      <c r="B32" s="8">
        <v>33.799999999999997</v>
      </c>
      <c r="C32" s="7">
        <v>78.180000000000007</v>
      </c>
      <c r="D32" s="7">
        <v>60</v>
      </c>
      <c r="E32" s="8">
        <v>18.18</v>
      </c>
      <c r="F32" s="12">
        <v>2.215451388888889E-2</v>
      </c>
      <c r="G32" s="7">
        <v>25</v>
      </c>
    </row>
    <row r="33" spans="1:7" x14ac:dyDescent="0.2">
      <c r="A33" s="10" t="s">
        <v>22</v>
      </c>
      <c r="B33" s="11">
        <v>28.9</v>
      </c>
      <c r="C33" s="10">
        <v>94.29</v>
      </c>
      <c r="D33" s="10">
        <v>62.86</v>
      </c>
      <c r="E33" s="11">
        <v>31.43</v>
      </c>
      <c r="F33" s="13">
        <v>2.0461226851851852E-2</v>
      </c>
      <c r="G33" s="10">
        <v>28</v>
      </c>
    </row>
    <row r="34" spans="1:7" x14ac:dyDescent="0.2">
      <c r="A34" s="7" t="s">
        <v>71</v>
      </c>
      <c r="B34" s="8">
        <v>33.799999999999997</v>
      </c>
      <c r="C34" s="7">
        <v>80.650000000000006</v>
      </c>
      <c r="D34" s="7">
        <v>64.52</v>
      </c>
      <c r="E34" s="8">
        <v>16.13</v>
      </c>
      <c r="F34" s="12">
        <v>2.3485416666666672E-2</v>
      </c>
      <c r="G34" s="7">
        <v>18</v>
      </c>
    </row>
    <row r="35" spans="1:7" x14ac:dyDescent="0.2">
      <c r="A35" s="10" t="s">
        <v>105</v>
      </c>
      <c r="B35" s="11">
        <v>22.8</v>
      </c>
      <c r="C35" s="10">
        <v>63.16</v>
      </c>
      <c r="D35" s="10">
        <v>45.61</v>
      </c>
      <c r="E35" s="11">
        <v>17.54</v>
      </c>
      <c r="F35" s="13">
        <v>2.0117476851851852E-2</v>
      </c>
      <c r="G35" s="10">
        <v>33</v>
      </c>
    </row>
    <row r="36" spans="1:7" x14ac:dyDescent="0.2">
      <c r="A36" s="7" t="s">
        <v>67</v>
      </c>
      <c r="B36" s="8">
        <v>42.2</v>
      </c>
      <c r="C36" s="7">
        <v>86.9</v>
      </c>
      <c r="D36" s="7">
        <v>66.67</v>
      </c>
      <c r="E36" s="8">
        <v>20.239999999999998</v>
      </c>
      <c r="F36" s="12">
        <v>1.859537037037037E-2</v>
      </c>
      <c r="G36" s="7">
        <v>26</v>
      </c>
    </row>
    <row r="37" spans="1:7" x14ac:dyDescent="0.2">
      <c r="A37" s="10" t="s">
        <v>115</v>
      </c>
      <c r="B37" s="11">
        <v>32.700000000000003</v>
      </c>
      <c r="C37" s="10">
        <v>85.11</v>
      </c>
      <c r="D37" s="10">
        <v>68.09</v>
      </c>
      <c r="E37" s="11">
        <v>17.02</v>
      </c>
      <c r="F37" s="13">
        <v>2.136041666666667E-2</v>
      </c>
      <c r="G37" s="10">
        <v>23</v>
      </c>
    </row>
    <row r="38" spans="1:7" x14ac:dyDescent="0.2">
      <c r="A38" s="7" t="s">
        <v>125</v>
      </c>
      <c r="B38" s="8">
        <v>24.2</v>
      </c>
      <c r="C38" s="7">
        <v>79.489999999999995</v>
      </c>
      <c r="D38" s="7">
        <v>64.099999999999994</v>
      </c>
      <c r="E38" s="8">
        <v>15.38</v>
      </c>
      <c r="F38" s="12">
        <v>2.0713773148148148E-2</v>
      </c>
      <c r="G38" s="7">
        <v>20</v>
      </c>
    </row>
    <row r="39" spans="1:7" x14ac:dyDescent="0.2">
      <c r="A39" s="10" t="s">
        <v>76</v>
      </c>
      <c r="B39" s="11">
        <v>23.5</v>
      </c>
      <c r="C39" s="10">
        <v>77.78</v>
      </c>
      <c r="D39" s="10">
        <v>48.89</v>
      </c>
      <c r="E39" s="11">
        <v>28.89</v>
      </c>
      <c r="F39" s="13">
        <v>2.0479398148148146E-2</v>
      </c>
      <c r="G39" s="10">
        <v>22</v>
      </c>
    </row>
    <row r="40" spans="1:7" x14ac:dyDescent="0.2">
      <c r="A40" s="7" t="s">
        <v>68</v>
      </c>
      <c r="B40" s="8">
        <v>23.2</v>
      </c>
      <c r="C40" s="7">
        <v>84.21</v>
      </c>
      <c r="D40" s="7">
        <v>52.63</v>
      </c>
      <c r="E40" s="8">
        <v>31.58</v>
      </c>
      <c r="F40" s="12">
        <v>2.1510879629629626E-2</v>
      </c>
      <c r="G40" s="7">
        <v>28</v>
      </c>
    </row>
    <row r="41" spans="1:7" x14ac:dyDescent="0.2">
      <c r="A41" s="10" t="s">
        <v>52</v>
      </c>
      <c r="B41" s="11">
        <v>20.5</v>
      </c>
      <c r="C41" s="10">
        <v>83.78</v>
      </c>
      <c r="D41" s="10">
        <v>62.16</v>
      </c>
      <c r="E41" s="11">
        <v>21.62</v>
      </c>
      <c r="F41" s="13">
        <v>1.9642129629629631E-2</v>
      </c>
      <c r="G41" s="10">
        <v>28</v>
      </c>
    </row>
    <row r="42" spans="1:7" x14ac:dyDescent="0.2">
      <c r="A42" s="7" t="s">
        <v>118</v>
      </c>
      <c r="B42" s="8">
        <v>29.4</v>
      </c>
      <c r="C42" s="7">
        <v>88</v>
      </c>
      <c r="D42" s="7">
        <v>70</v>
      </c>
      <c r="E42" s="8">
        <v>18</v>
      </c>
      <c r="F42" s="12">
        <v>2.1400462962962965E-2</v>
      </c>
      <c r="G42" s="7">
        <v>22</v>
      </c>
    </row>
    <row r="43" spans="1:7" x14ac:dyDescent="0.2">
      <c r="A43" s="10" t="s">
        <v>36</v>
      </c>
      <c r="B43" s="11">
        <v>23</v>
      </c>
      <c r="C43" s="10">
        <v>72.34</v>
      </c>
      <c r="D43" s="10">
        <v>55.32</v>
      </c>
      <c r="E43" s="11">
        <v>17.02</v>
      </c>
      <c r="F43" s="13">
        <v>2.3470254629629633E-2</v>
      </c>
      <c r="G43" s="10">
        <v>18</v>
      </c>
    </row>
    <row r="44" spans="1:7" x14ac:dyDescent="0.2">
      <c r="A44" s="7" t="s">
        <v>127</v>
      </c>
      <c r="B44" s="8">
        <v>19.3</v>
      </c>
      <c r="C44" s="7">
        <v>65</v>
      </c>
      <c r="D44" s="7">
        <v>40</v>
      </c>
      <c r="E44" s="8">
        <v>25</v>
      </c>
      <c r="F44" s="12">
        <v>2.0069444444444442E-2</v>
      </c>
      <c r="G44" s="7">
        <v>28</v>
      </c>
    </row>
    <row r="45" spans="1:7" x14ac:dyDescent="0.2">
      <c r="A45" s="10" t="s">
        <v>86</v>
      </c>
      <c r="B45" s="11">
        <v>26.1</v>
      </c>
      <c r="C45" s="10">
        <v>82.61</v>
      </c>
      <c r="D45" s="10">
        <v>67.39</v>
      </c>
      <c r="E45" s="11">
        <v>15.22</v>
      </c>
      <c r="F45" s="13">
        <v>2.1096875000000001E-2</v>
      </c>
      <c r="G45" s="10">
        <v>20</v>
      </c>
    </row>
    <row r="46" spans="1:7" x14ac:dyDescent="0.2">
      <c r="A46" s="7" t="s">
        <v>65</v>
      </c>
      <c r="B46" s="8">
        <v>29.2</v>
      </c>
      <c r="C46" s="7">
        <v>95.12</v>
      </c>
      <c r="D46" s="7">
        <v>68.290000000000006</v>
      </c>
      <c r="E46" s="8">
        <v>26.83</v>
      </c>
      <c r="F46" s="12">
        <v>2.0515046296296299E-2</v>
      </c>
      <c r="G46" s="7">
        <v>13</v>
      </c>
    </row>
    <row r="47" spans="1:7" x14ac:dyDescent="0.2">
      <c r="A47" s="10" t="s">
        <v>58</v>
      </c>
      <c r="B47" s="11">
        <v>22.2</v>
      </c>
      <c r="C47" s="10">
        <v>88.57</v>
      </c>
      <c r="D47" s="10">
        <v>77.14</v>
      </c>
      <c r="E47" s="11">
        <v>11.43</v>
      </c>
      <c r="F47" s="13">
        <v>2.0940393518518518E-2</v>
      </c>
      <c r="G47" s="10">
        <v>23</v>
      </c>
    </row>
    <row r="48" spans="1:7" x14ac:dyDescent="0.2">
      <c r="A48" s="7" t="s">
        <v>21</v>
      </c>
      <c r="B48" s="8">
        <v>25.6</v>
      </c>
      <c r="C48" s="7">
        <v>71.7</v>
      </c>
      <c r="D48" s="7">
        <v>54.72</v>
      </c>
      <c r="E48" s="8">
        <v>16.98</v>
      </c>
      <c r="F48" s="12">
        <v>2.2446990740740743E-2</v>
      </c>
      <c r="G48" s="7">
        <v>28</v>
      </c>
    </row>
    <row r="49" spans="1:7" x14ac:dyDescent="0.2">
      <c r="A49" s="10" t="s">
        <v>12</v>
      </c>
      <c r="B49" s="11">
        <v>18.100000000000001</v>
      </c>
      <c r="C49" s="10">
        <v>76.739999999999995</v>
      </c>
      <c r="D49" s="10">
        <v>48.84</v>
      </c>
      <c r="E49" s="11">
        <v>27.91</v>
      </c>
      <c r="F49" s="13">
        <v>2.0362615740740744E-2</v>
      </c>
      <c r="G49" s="10">
        <v>20</v>
      </c>
    </row>
    <row r="50" spans="1:7" x14ac:dyDescent="0.2">
      <c r="A50" s="7" t="s">
        <v>70</v>
      </c>
      <c r="B50" s="8">
        <v>24.8</v>
      </c>
      <c r="C50" s="7">
        <v>87.8</v>
      </c>
      <c r="D50" s="7">
        <v>60.98</v>
      </c>
      <c r="E50" s="8">
        <v>26.83</v>
      </c>
      <c r="F50" s="12">
        <v>1.9326041666666665E-2</v>
      </c>
      <c r="G50" s="7">
        <v>14</v>
      </c>
    </row>
    <row r="51" spans="1:7" x14ac:dyDescent="0.2">
      <c r="A51" s="10" t="s">
        <v>78</v>
      </c>
      <c r="B51" s="11">
        <v>21.8</v>
      </c>
      <c r="C51" s="10">
        <v>78.569999999999993</v>
      </c>
      <c r="D51" s="10">
        <v>52.38</v>
      </c>
      <c r="E51" s="11">
        <v>26.19</v>
      </c>
      <c r="F51" s="13">
        <v>2.2476851851851855E-2</v>
      </c>
      <c r="G51" s="10">
        <v>22</v>
      </c>
    </row>
    <row r="52" spans="1:7" x14ac:dyDescent="0.2">
      <c r="A52" s="7" t="s">
        <v>97</v>
      </c>
      <c r="B52" s="8">
        <v>21.3</v>
      </c>
      <c r="C52" s="7">
        <v>81.25</v>
      </c>
      <c r="D52" s="7">
        <v>50</v>
      </c>
      <c r="E52" s="8">
        <v>31.25</v>
      </c>
      <c r="F52" s="12">
        <v>2.0004861111111109E-2</v>
      </c>
      <c r="G52" s="7">
        <v>24</v>
      </c>
    </row>
    <row r="53" spans="1:7" x14ac:dyDescent="0.2">
      <c r="A53" s="10" t="s">
        <v>1</v>
      </c>
      <c r="B53" s="11">
        <v>21.8</v>
      </c>
      <c r="C53" s="10">
        <v>76.19</v>
      </c>
      <c r="D53" s="10">
        <v>54.76</v>
      </c>
      <c r="E53" s="11">
        <v>21.43</v>
      </c>
      <c r="F53" s="13">
        <v>2.0376157407407405E-2</v>
      </c>
      <c r="G53" s="10">
        <v>26</v>
      </c>
    </row>
    <row r="54" spans="1:7" x14ac:dyDescent="0.2">
      <c r="A54" s="7" t="s">
        <v>39</v>
      </c>
      <c r="B54" s="8">
        <v>30.3</v>
      </c>
      <c r="C54" s="7">
        <v>80</v>
      </c>
      <c r="D54" s="7">
        <v>61.82</v>
      </c>
      <c r="E54" s="8">
        <v>18.18</v>
      </c>
      <c r="F54" s="12">
        <v>2.1011342592592592E-2</v>
      </c>
      <c r="G54" s="7">
        <v>21</v>
      </c>
    </row>
    <row r="55" spans="1:7" x14ac:dyDescent="0.2">
      <c r="A55" s="10" t="s">
        <v>93</v>
      </c>
      <c r="B55" s="11">
        <v>15.6</v>
      </c>
      <c r="C55" s="10">
        <v>70.59</v>
      </c>
      <c r="D55" s="10">
        <v>52.94</v>
      </c>
      <c r="E55" s="11">
        <v>17.649999999999999</v>
      </c>
      <c r="F55" s="13">
        <v>2.1916435185185185E-2</v>
      </c>
      <c r="G55" s="10">
        <v>36</v>
      </c>
    </row>
    <row r="56" spans="1:7" x14ac:dyDescent="0.2">
      <c r="A56" s="7" t="s">
        <v>84</v>
      </c>
      <c r="B56" s="8">
        <v>29.5</v>
      </c>
      <c r="C56" s="7">
        <v>65.31</v>
      </c>
      <c r="D56" s="7">
        <v>51.02</v>
      </c>
      <c r="E56" s="8">
        <v>14.29</v>
      </c>
      <c r="F56" s="12">
        <v>1.8345833333333332E-2</v>
      </c>
      <c r="G56" s="7">
        <v>28</v>
      </c>
    </row>
    <row r="57" spans="1:7" x14ac:dyDescent="0.2">
      <c r="A57" s="10" t="s">
        <v>104</v>
      </c>
      <c r="B57" s="11">
        <v>29.7</v>
      </c>
      <c r="C57" s="10">
        <v>84.78</v>
      </c>
      <c r="D57" s="10">
        <v>56.52</v>
      </c>
      <c r="E57" s="11">
        <v>28.26</v>
      </c>
      <c r="F57" s="13">
        <v>2.0033796296296296E-2</v>
      </c>
      <c r="G57" s="10">
        <v>20</v>
      </c>
    </row>
    <row r="58" spans="1:7" x14ac:dyDescent="0.2">
      <c r="A58" s="7" t="s">
        <v>91</v>
      </c>
      <c r="B58" s="8">
        <v>32</v>
      </c>
      <c r="C58" s="7">
        <v>80.77</v>
      </c>
      <c r="D58" s="7">
        <v>55.77</v>
      </c>
      <c r="E58" s="8">
        <v>25</v>
      </c>
      <c r="F58" s="12">
        <v>1.9094560185185187E-2</v>
      </c>
      <c r="G58" s="7">
        <v>21</v>
      </c>
    </row>
    <row r="59" spans="1:7" x14ac:dyDescent="0.2">
      <c r="A59" s="10" t="s">
        <v>107</v>
      </c>
      <c r="B59" s="11">
        <v>20.9</v>
      </c>
      <c r="C59" s="10">
        <v>77.78</v>
      </c>
      <c r="D59" s="10">
        <v>51.11</v>
      </c>
      <c r="E59" s="11">
        <v>26.67</v>
      </c>
      <c r="F59" s="13">
        <v>2.0079282407407407E-2</v>
      </c>
      <c r="G59" s="10">
        <v>29</v>
      </c>
    </row>
    <row r="60" spans="1:7" x14ac:dyDescent="0.2">
      <c r="A60" s="7" t="s">
        <v>34</v>
      </c>
      <c r="B60" s="8">
        <v>29.5</v>
      </c>
      <c r="C60" s="7">
        <v>88.37</v>
      </c>
      <c r="D60" s="7">
        <v>62.79</v>
      </c>
      <c r="E60" s="8">
        <v>25.58</v>
      </c>
      <c r="F60" s="12">
        <v>2.0718518518518518E-2</v>
      </c>
      <c r="G60" s="7">
        <v>31</v>
      </c>
    </row>
    <row r="61" spans="1:7" x14ac:dyDescent="0.2">
      <c r="A61" s="10" t="s">
        <v>35</v>
      </c>
      <c r="B61" s="11">
        <v>25.6</v>
      </c>
      <c r="C61" s="10">
        <v>71.739999999999995</v>
      </c>
      <c r="D61" s="10">
        <v>45.65</v>
      </c>
      <c r="E61" s="11">
        <v>26.09</v>
      </c>
      <c r="F61" s="13">
        <v>2.2065972222222219E-2</v>
      </c>
      <c r="G61" s="10">
        <v>30</v>
      </c>
    </row>
    <row r="62" spans="1:7" x14ac:dyDescent="0.2">
      <c r="A62" s="7" t="s">
        <v>10</v>
      </c>
      <c r="B62" s="8">
        <v>29</v>
      </c>
      <c r="C62" s="7">
        <v>80.77</v>
      </c>
      <c r="D62" s="7">
        <v>40.380000000000003</v>
      </c>
      <c r="E62" s="8">
        <v>40.380000000000003</v>
      </c>
      <c r="F62" s="12">
        <v>1.9253935185185183E-2</v>
      </c>
      <c r="G62" s="7">
        <v>19</v>
      </c>
    </row>
    <row r="63" spans="1:7" x14ac:dyDescent="0.2">
      <c r="A63" s="10" t="s">
        <v>49</v>
      </c>
      <c r="B63" s="11">
        <v>28</v>
      </c>
      <c r="C63" s="10">
        <v>82.46</v>
      </c>
      <c r="D63" s="10">
        <v>70.180000000000007</v>
      </c>
      <c r="E63" s="11">
        <v>12.28</v>
      </c>
      <c r="F63" s="13">
        <v>2.3548263888888889E-2</v>
      </c>
      <c r="G63" s="10">
        <v>14</v>
      </c>
    </row>
    <row r="64" spans="1:7" x14ac:dyDescent="0.2">
      <c r="A64" s="7" t="s">
        <v>83</v>
      </c>
      <c r="B64" s="8">
        <v>25.1</v>
      </c>
      <c r="C64" s="7">
        <v>81.63</v>
      </c>
      <c r="D64" s="7">
        <v>53.06</v>
      </c>
      <c r="E64" s="8">
        <v>28.57</v>
      </c>
      <c r="F64" s="12">
        <v>2.1175578703703703E-2</v>
      </c>
      <c r="G64" s="7">
        <v>23</v>
      </c>
    </row>
    <row r="65" spans="1:7" x14ac:dyDescent="0.2">
      <c r="A65" s="10" t="s">
        <v>69</v>
      </c>
      <c r="B65" s="11">
        <v>38.200000000000003</v>
      </c>
      <c r="C65" s="10">
        <v>83.02</v>
      </c>
      <c r="D65" s="10">
        <v>73.58</v>
      </c>
      <c r="E65" s="11">
        <v>9.43</v>
      </c>
      <c r="F65" s="13">
        <v>2.1483217592592595E-2</v>
      </c>
      <c r="G65" s="10">
        <v>21</v>
      </c>
    </row>
    <row r="66" spans="1:7" x14ac:dyDescent="0.2">
      <c r="A66" s="7" t="s">
        <v>111</v>
      </c>
      <c r="B66" s="8">
        <v>16.3</v>
      </c>
      <c r="C66" s="7">
        <v>68.97</v>
      </c>
      <c r="D66" s="7">
        <v>41.38</v>
      </c>
      <c r="E66" s="8">
        <v>27.59</v>
      </c>
      <c r="F66" s="12">
        <v>1.9498495370370371E-2</v>
      </c>
      <c r="G66" s="7">
        <v>26</v>
      </c>
    </row>
    <row r="67" spans="1:7" x14ac:dyDescent="0.2">
      <c r="A67" s="10" t="s">
        <v>50</v>
      </c>
      <c r="B67" s="11">
        <v>11.5</v>
      </c>
      <c r="C67" s="10">
        <v>75</v>
      </c>
      <c r="D67" s="10">
        <v>50</v>
      </c>
      <c r="E67" s="11">
        <v>25</v>
      </c>
      <c r="F67" s="13">
        <v>2.0698842592592592E-2</v>
      </c>
      <c r="G67" s="10">
        <v>28</v>
      </c>
    </row>
    <row r="68" spans="1:7" x14ac:dyDescent="0.2">
      <c r="A68" s="7" t="s">
        <v>82</v>
      </c>
      <c r="B68" s="8">
        <v>23.8</v>
      </c>
      <c r="C68" s="7">
        <v>84.44</v>
      </c>
      <c r="D68" s="7">
        <v>46.67</v>
      </c>
      <c r="E68" s="8">
        <v>37.78</v>
      </c>
      <c r="F68" s="12">
        <v>2.1144097222222224E-2</v>
      </c>
      <c r="G68" s="7">
        <v>27</v>
      </c>
    </row>
    <row r="69" spans="1:7" x14ac:dyDescent="0.2">
      <c r="A69" s="10" t="s">
        <v>46</v>
      </c>
      <c r="B69" s="11">
        <v>30.3</v>
      </c>
      <c r="C69" s="10">
        <v>87.76</v>
      </c>
      <c r="D69" s="10">
        <v>71.430000000000007</v>
      </c>
      <c r="E69" s="11">
        <v>16.329999999999998</v>
      </c>
      <c r="F69" s="13">
        <v>2.0730092592592592E-2</v>
      </c>
      <c r="G69" s="10">
        <v>25</v>
      </c>
    </row>
    <row r="70" spans="1:7" x14ac:dyDescent="0.2">
      <c r="A70" s="7" t="s">
        <v>16</v>
      </c>
      <c r="B70" s="8">
        <v>26.6</v>
      </c>
      <c r="C70" s="7">
        <v>78.72</v>
      </c>
      <c r="D70" s="7">
        <v>59.57</v>
      </c>
      <c r="E70" s="8">
        <v>19.149999999999999</v>
      </c>
      <c r="F70" s="12">
        <v>2.1365740740740741E-2</v>
      </c>
      <c r="G70" s="7">
        <v>29</v>
      </c>
    </row>
    <row r="71" spans="1:7" x14ac:dyDescent="0.2">
      <c r="A71" s="10" t="s">
        <v>51</v>
      </c>
      <c r="B71" s="11">
        <v>28.6</v>
      </c>
      <c r="C71" s="10">
        <v>88.46</v>
      </c>
      <c r="D71" s="10">
        <v>55.77</v>
      </c>
      <c r="E71" s="11">
        <v>32.69</v>
      </c>
      <c r="F71" s="13">
        <v>2.1662268518518518E-2</v>
      </c>
      <c r="G71" s="10">
        <v>16</v>
      </c>
    </row>
    <row r="72" spans="1:7" x14ac:dyDescent="0.2">
      <c r="A72" s="7" t="s">
        <v>55</v>
      </c>
      <c r="B72" s="8">
        <v>25.9</v>
      </c>
      <c r="C72" s="7">
        <v>76.599999999999994</v>
      </c>
      <c r="D72" s="7">
        <v>53.19</v>
      </c>
      <c r="E72" s="8">
        <v>23.4</v>
      </c>
      <c r="F72" s="12">
        <v>2.1474305555555559E-2</v>
      </c>
      <c r="G72" s="7">
        <v>27</v>
      </c>
    </row>
    <row r="73" spans="1:7" x14ac:dyDescent="0.2">
      <c r="A73" s="10" t="s">
        <v>23</v>
      </c>
      <c r="B73" s="11">
        <v>30.1</v>
      </c>
      <c r="C73" s="10">
        <v>84</v>
      </c>
      <c r="D73" s="10">
        <v>56</v>
      </c>
      <c r="E73" s="11">
        <v>28</v>
      </c>
      <c r="F73" s="13">
        <v>2.2153703703703703E-2</v>
      </c>
      <c r="G73" s="10">
        <v>14</v>
      </c>
    </row>
    <row r="74" spans="1:7" x14ac:dyDescent="0.2">
      <c r="A74" s="7" t="s">
        <v>13</v>
      </c>
      <c r="B74" s="8">
        <v>24.8</v>
      </c>
      <c r="C74" s="7">
        <v>71.11</v>
      </c>
      <c r="D74" s="7">
        <v>40</v>
      </c>
      <c r="E74" s="8">
        <v>31.11</v>
      </c>
      <c r="F74" s="12">
        <v>2.0097569444444446E-2</v>
      </c>
      <c r="G74" s="7">
        <v>24</v>
      </c>
    </row>
    <row r="75" spans="1:7" x14ac:dyDescent="0.2">
      <c r="A75" s="10" t="s">
        <v>4</v>
      </c>
      <c r="B75" s="11">
        <v>29</v>
      </c>
      <c r="C75" s="10">
        <v>79.17</v>
      </c>
      <c r="D75" s="10">
        <v>52.08</v>
      </c>
      <c r="E75" s="11">
        <v>27.08</v>
      </c>
      <c r="F75" s="13">
        <v>2.1871412037037036E-2</v>
      </c>
      <c r="G75" s="10">
        <v>18</v>
      </c>
    </row>
    <row r="76" spans="1:7" x14ac:dyDescent="0.2">
      <c r="A76" s="7" t="s">
        <v>3</v>
      </c>
      <c r="B76" s="8">
        <v>31.1</v>
      </c>
      <c r="C76" s="7">
        <v>84.75</v>
      </c>
      <c r="D76" s="7">
        <v>55.93</v>
      </c>
      <c r="E76" s="8">
        <v>28.81</v>
      </c>
      <c r="F76" s="12">
        <v>1.9939467592592592E-2</v>
      </c>
      <c r="G76" s="7">
        <v>26</v>
      </c>
    </row>
    <row r="77" spans="1:7" x14ac:dyDescent="0.2">
      <c r="A77" s="10" t="s">
        <v>2</v>
      </c>
      <c r="B77" s="11">
        <v>28.4</v>
      </c>
      <c r="C77" s="10">
        <v>84.09</v>
      </c>
      <c r="D77" s="10">
        <v>63.64</v>
      </c>
      <c r="E77" s="11">
        <v>20.45</v>
      </c>
      <c r="F77" s="13">
        <v>2.2108217592592596E-2</v>
      </c>
      <c r="G77" s="10">
        <v>30</v>
      </c>
    </row>
    <row r="78" spans="1:7" x14ac:dyDescent="0.2">
      <c r="A78" s="7" t="s">
        <v>18</v>
      </c>
      <c r="B78" s="8">
        <v>36.1</v>
      </c>
      <c r="C78" s="7">
        <v>92.98</v>
      </c>
      <c r="D78" s="7">
        <v>71.930000000000007</v>
      </c>
      <c r="E78" s="8">
        <v>21.05</v>
      </c>
      <c r="F78" s="12">
        <v>1.8268287037037038E-2</v>
      </c>
      <c r="G78" s="7">
        <v>23</v>
      </c>
    </row>
    <row r="79" spans="1:7" x14ac:dyDescent="0.2">
      <c r="A79" s="10" t="s">
        <v>112</v>
      </c>
      <c r="B79" s="11">
        <v>31.5</v>
      </c>
      <c r="C79" s="10">
        <v>96.43</v>
      </c>
      <c r="D79" s="10">
        <v>73.209999999999994</v>
      </c>
      <c r="E79" s="11">
        <v>23.21</v>
      </c>
      <c r="F79" s="13">
        <v>2.2141203703703705E-2</v>
      </c>
      <c r="G79" s="10">
        <v>11</v>
      </c>
    </row>
    <row r="80" spans="1:7" x14ac:dyDescent="0.2">
      <c r="A80" s="7" t="s">
        <v>6</v>
      </c>
      <c r="B80" s="8">
        <v>28.8</v>
      </c>
      <c r="C80" s="7">
        <v>84.91</v>
      </c>
      <c r="D80" s="7">
        <v>58.49</v>
      </c>
      <c r="E80" s="8">
        <v>26.42</v>
      </c>
      <c r="F80" s="12">
        <v>2.2646064814814817E-2</v>
      </c>
      <c r="G80" s="7">
        <v>17</v>
      </c>
    </row>
    <row r="81" spans="1:7" x14ac:dyDescent="0.2">
      <c r="A81" s="10" t="s">
        <v>99</v>
      </c>
      <c r="B81" s="11">
        <v>32.1</v>
      </c>
      <c r="C81" s="10">
        <v>91.38</v>
      </c>
      <c r="D81" s="10">
        <v>56.9</v>
      </c>
      <c r="E81" s="11">
        <v>34.479999999999997</v>
      </c>
      <c r="F81" s="13">
        <v>2.1485879629629629E-2</v>
      </c>
      <c r="G81" s="10">
        <v>14</v>
      </c>
    </row>
    <row r="82" spans="1:7" x14ac:dyDescent="0.2">
      <c r="A82" s="7" t="s">
        <v>96</v>
      </c>
      <c r="B82" s="8">
        <v>27.8</v>
      </c>
      <c r="C82" s="7">
        <v>88.24</v>
      </c>
      <c r="D82" s="7">
        <v>73.53</v>
      </c>
      <c r="E82" s="8">
        <v>14.71</v>
      </c>
      <c r="F82" s="12">
        <v>2.0697337962962963E-2</v>
      </c>
      <c r="G82" s="7">
        <v>29</v>
      </c>
    </row>
    <row r="83" spans="1:7" x14ac:dyDescent="0.2">
      <c r="A83" s="10" t="s">
        <v>123</v>
      </c>
      <c r="B83" s="11">
        <v>18.3</v>
      </c>
      <c r="C83" s="10">
        <v>60.98</v>
      </c>
      <c r="D83" s="10">
        <v>48.78</v>
      </c>
      <c r="E83" s="11">
        <v>12.2</v>
      </c>
      <c r="F83" s="13">
        <v>1.9784953703703704E-2</v>
      </c>
      <c r="G83" s="10">
        <v>27</v>
      </c>
    </row>
    <row r="84" spans="1:7" x14ac:dyDescent="0.2">
      <c r="A84" s="7" t="s">
        <v>119</v>
      </c>
      <c r="B84" s="8">
        <v>28.8</v>
      </c>
      <c r="C84" s="7">
        <v>80</v>
      </c>
      <c r="D84" s="7">
        <v>47.5</v>
      </c>
      <c r="E84" s="8">
        <v>32.5</v>
      </c>
      <c r="F84" s="12">
        <v>2.1624768518518519E-2</v>
      </c>
      <c r="G84" s="7">
        <v>14</v>
      </c>
    </row>
    <row r="85" spans="1:7" x14ac:dyDescent="0.2">
      <c r="A85" s="10" t="s">
        <v>48</v>
      </c>
      <c r="B85" s="11">
        <v>23.3</v>
      </c>
      <c r="C85" s="10">
        <v>76.319999999999993</v>
      </c>
      <c r="D85" s="10">
        <v>60.53</v>
      </c>
      <c r="E85" s="11">
        <v>15.79</v>
      </c>
      <c r="F85" s="13">
        <v>1.9298842592592593E-2</v>
      </c>
      <c r="G85" s="10">
        <v>25</v>
      </c>
    </row>
    <row r="86" spans="1:7" x14ac:dyDescent="0.2">
      <c r="A86" s="7" t="s">
        <v>124</v>
      </c>
      <c r="B86" s="8">
        <v>13.8</v>
      </c>
      <c r="C86" s="7">
        <v>76.67</v>
      </c>
      <c r="D86" s="7">
        <v>60</v>
      </c>
      <c r="E86" s="8">
        <v>16.670000000000002</v>
      </c>
      <c r="F86" s="12">
        <v>2.007037037037037E-2</v>
      </c>
      <c r="G86" s="7">
        <v>25</v>
      </c>
    </row>
    <row r="87" spans="1:7" x14ac:dyDescent="0.2">
      <c r="A87" s="10" t="s">
        <v>7</v>
      </c>
      <c r="B87" s="11">
        <v>29.2</v>
      </c>
      <c r="C87" s="10">
        <v>90.7</v>
      </c>
      <c r="D87" s="10">
        <v>69.77</v>
      </c>
      <c r="E87" s="11">
        <v>20.93</v>
      </c>
      <c r="F87" s="13">
        <v>2.1548263888888888E-2</v>
      </c>
      <c r="G87" s="10">
        <v>26</v>
      </c>
    </row>
    <row r="88" spans="1:7" x14ac:dyDescent="0.2">
      <c r="A88" s="7" t="s">
        <v>98</v>
      </c>
      <c r="B88" s="8">
        <v>20.6</v>
      </c>
      <c r="C88" s="7">
        <v>81.400000000000006</v>
      </c>
      <c r="D88" s="7">
        <v>53.49</v>
      </c>
      <c r="E88" s="8">
        <v>27.91</v>
      </c>
      <c r="F88" s="12">
        <v>2.1120023148148148E-2</v>
      </c>
      <c r="G88" s="7">
        <v>21</v>
      </c>
    </row>
    <row r="89" spans="1:7" x14ac:dyDescent="0.2">
      <c r="A89" s="10" t="s">
        <v>15</v>
      </c>
      <c r="B89" s="11">
        <v>26.5</v>
      </c>
      <c r="C89" s="10">
        <v>86.96</v>
      </c>
      <c r="D89" s="10">
        <v>65.22</v>
      </c>
      <c r="E89" s="11">
        <v>21.74</v>
      </c>
      <c r="F89" s="13">
        <v>2.0965046296296298E-2</v>
      </c>
      <c r="G89" s="10">
        <v>23</v>
      </c>
    </row>
    <row r="90" spans="1:7" x14ac:dyDescent="0.2">
      <c r="A90" s="7" t="s">
        <v>47</v>
      </c>
      <c r="B90" s="8">
        <v>32.9</v>
      </c>
      <c r="C90" s="7">
        <v>80.33</v>
      </c>
      <c r="D90" s="7">
        <v>60.66</v>
      </c>
      <c r="E90" s="8">
        <v>19.670000000000002</v>
      </c>
      <c r="F90" s="12">
        <v>2.0232407407407407E-2</v>
      </c>
      <c r="G90" s="7">
        <v>17</v>
      </c>
    </row>
    <row r="91" spans="1:7" x14ac:dyDescent="0.2">
      <c r="A91" s="10" t="s">
        <v>37</v>
      </c>
      <c r="B91" s="11">
        <v>35.5</v>
      </c>
      <c r="C91" s="10">
        <v>83.61</v>
      </c>
      <c r="D91" s="10">
        <v>68.849999999999994</v>
      </c>
      <c r="E91" s="11">
        <v>14.75</v>
      </c>
      <c r="F91" s="13">
        <v>2.2279166666666669E-2</v>
      </c>
      <c r="G91" s="10">
        <v>17</v>
      </c>
    </row>
    <row r="92" spans="1:7" x14ac:dyDescent="0.2">
      <c r="A92" s="7" t="s">
        <v>75</v>
      </c>
      <c r="B92" s="8">
        <v>21.2</v>
      </c>
      <c r="C92" s="7">
        <v>80.489999999999995</v>
      </c>
      <c r="D92" s="7">
        <v>60.98</v>
      </c>
      <c r="E92" s="8">
        <v>19.510000000000002</v>
      </c>
      <c r="F92" s="12">
        <v>2.1633912037037035E-2</v>
      </c>
      <c r="G92" s="7">
        <v>27</v>
      </c>
    </row>
    <row r="93" spans="1:7" x14ac:dyDescent="0.2">
      <c r="A93" s="10" t="s">
        <v>27</v>
      </c>
      <c r="B93" s="11">
        <v>38.299999999999997</v>
      </c>
      <c r="C93" s="10">
        <v>85</v>
      </c>
      <c r="D93" s="10">
        <v>65</v>
      </c>
      <c r="E93" s="11">
        <v>20</v>
      </c>
      <c r="F93" s="13">
        <v>2.2078009259259259E-2</v>
      </c>
      <c r="G93" s="10">
        <v>23</v>
      </c>
    </row>
    <row r="94" spans="1:7" x14ac:dyDescent="0.2">
      <c r="A94" s="7" t="s">
        <v>90</v>
      </c>
      <c r="B94" s="8">
        <v>29.5</v>
      </c>
      <c r="C94" s="7">
        <v>88.24</v>
      </c>
      <c r="D94" s="7">
        <v>56.86</v>
      </c>
      <c r="E94" s="8">
        <v>31.37</v>
      </c>
      <c r="F94" s="12">
        <v>2.1282060185185182E-2</v>
      </c>
      <c r="G94" s="7">
        <v>23</v>
      </c>
    </row>
    <row r="95" spans="1:7" x14ac:dyDescent="0.2">
      <c r="A95" s="10" t="s">
        <v>117</v>
      </c>
      <c r="B95" s="11">
        <v>29.3</v>
      </c>
      <c r="C95" s="10">
        <v>87.27</v>
      </c>
      <c r="D95" s="10">
        <v>67.27</v>
      </c>
      <c r="E95" s="11">
        <v>20</v>
      </c>
      <c r="F95" s="13">
        <v>2.1112037037037037E-2</v>
      </c>
      <c r="G95" s="10">
        <v>21</v>
      </c>
    </row>
    <row r="96" spans="1:7" x14ac:dyDescent="0.2">
      <c r="A96" s="7" t="s">
        <v>61</v>
      </c>
      <c r="B96" s="8">
        <v>39.299999999999997</v>
      </c>
      <c r="C96" s="7">
        <v>93.1</v>
      </c>
      <c r="D96" s="7">
        <v>68.97</v>
      </c>
      <c r="E96" s="8">
        <v>24.14</v>
      </c>
      <c r="F96" s="12">
        <v>2.122523148148148E-2</v>
      </c>
      <c r="G96" s="7">
        <v>28</v>
      </c>
    </row>
    <row r="97" spans="1:7" x14ac:dyDescent="0.2">
      <c r="A97" s="10" t="s">
        <v>43</v>
      </c>
      <c r="B97" s="11">
        <v>32.799999999999997</v>
      </c>
      <c r="C97" s="10">
        <v>77.78</v>
      </c>
      <c r="D97" s="10">
        <v>65.08</v>
      </c>
      <c r="E97" s="11">
        <v>12.7</v>
      </c>
      <c r="F97" s="13">
        <v>2.0807523148148148E-2</v>
      </c>
      <c r="G97" s="10">
        <v>23</v>
      </c>
    </row>
    <row r="98" spans="1:7" x14ac:dyDescent="0.2">
      <c r="A98" s="7" t="s">
        <v>28</v>
      </c>
      <c r="B98" s="8">
        <v>37</v>
      </c>
      <c r="C98" s="7">
        <v>85.25</v>
      </c>
      <c r="D98" s="7">
        <v>70.489999999999995</v>
      </c>
      <c r="E98" s="8">
        <v>14.75</v>
      </c>
      <c r="F98" s="12">
        <v>2.007662037037037E-2</v>
      </c>
      <c r="G98" s="7">
        <v>30</v>
      </c>
    </row>
    <row r="99" spans="1:7" x14ac:dyDescent="0.2">
      <c r="A99" s="10" t="s">
        <v>14</v>
      </c>
      <c r="B99" s="11">
        <v>29.7</v>
      </c>
      <c r="C99" s="10">
        <v>83.33</v>
      </c>
      <c r="D99" s="10">
        <v>64.290000000000006</v>
      </c>
      <c r="E99" s="11">
        <v>19.05</v>
      </c>
      <c r="F99" s="13">
        <v>2.132523148148148E-2</v>
      </c>
      <c r="G99" s="10">
        <v>31</v>
      </c>
    </row>
    <row r="100" spans="1:7" x14ac:dyDescent="0.2">
      <c r="A100" s="7" t="s">
        <v>53</v>
      </c>
      <c r="B100" s="8">
        <v>33.700000000000003</v>
      </c>
      <c r="C100" s="7">
        <v>81.540000000000006</v>
      </c>
      <c r="D100" s="7">
        <v>61.54</v>
      </c>
      <c r="E100" s="8">
        <v>20</v>
      </c>
      <c r="F100" s="12">
        <v>2.0111342592592594E-2</v>
      </c>
      <c r="G100" s="7">
        <v>27</v>
      </c>
    </row>
    <row r="101" spans="1:7" x14ac:dyDescent="0.2">
      <c r="A101" s="10" t="s">
        <v>74</v>
      </c>
      <c r="B101" s="11">
        <v>16.100000000000001</v>
      </c>
      <c r="C101" s="10">
        <v>73.53</v>
      </c>
      <c r="D101" s="10">
        <v>50</v>
      </c>
      <c r="E101" s="11">
        <v>23.53</v>
      </c>
      <c r="F101" s="13">
        <v>2.0987615740740737E-2</v>
      </c>
      <c r="G101" s="10">
        <v>26</v>
      </c>
    </row>
    <row r="102" spans="1:7" x14ac:dyDescent="0.2">
      <c r="A102" s="7" t="s">
        <v>59</v>
      </c>
      <c r="B102" s="8">
        <v>29.3</v>
      </c>
      <c r="C102" s="7">
        <v>78.180000000000007</v>
      </c>
      <c r="D102" s="7">
        <v>56.36</v>
      </c>
      <c r="E102" s="8">
        <v>21.82</v>
      </c>
      <c r="F102" s="12">
        <v>2.0300925925925927E-2</v>
      </c>
      <c r="G102" s="7">
        <v>23</v>
      </c>
    </row>
    <row r="103" spans="1:7" x14ac:dyDescent="0.2">
      <c r="A103" s="10" t="s">
        <v>56</v>
      </c>
      <c r="B103" s="11">
        <v>27.8</v>
      </c>
      <c r="C103" s="10">
        <v>82.93</v>
      </c>
      <c r="D103" s="10">
        <v>53.66</v>
      </c>
      <c r="E103" s="11">
        <v>29.27</v>
      </c>
      <c r="F103" s="13">
        <v>2.0251736111111113E-2</v>
      </c>
      <c r="G103" s="10">
        <v>13</v>
      </c>
    </row>
    <row r="104" spans="1:7" x14ac:dyDescent="0.2">
      <c r="A104" s="7" t="s">
        <v>0</v>
      </c>
      <c r="B104" s="8">
        <v>26.2</v>
      </c>
      <c r="C104" s="7">
        <v>71.7</v>
      </c>
      <c r="D104" s="7">
        <v>54.72</v>
      </c>
      <c r="E104" s="8">
        <v>16.98</v>
      </c>
      <c r="F104" s="12">
        <v>2.148148148148148E-2</v>
      </c>
      <c r="G104" s="7">
        <v>20</v>
      </c>
    </row>
    <row r="105" spans="1:7" x14ac:dyDescent="0.2">
      <c r="A105" s="10" t="s">
        <v>31</v>
      </c>
      <c r="B105" s="11">
        <v>22</v>
      </c>
      <c r="C105" s="10">
        <v>83.78</v>
      </c>
      <c r="D105" s="10">
        <v>35.14</v>
      </c>
      <c r="E105" s="11">
        <v>48.65</v>
      </c>
      <c r="F105" s="13">
        <v>2.0675694444444444E-2</v>
      </c>
      <c r="G105" s="10">
        <v>24</v>
      </c>
    </row>
    <row r="106" spans="1:7" x14ac:dyDescent="0.2">
      <c r="A106" s="7" t="s">
        <v>62</v>
      </c>
      <c r="B106" s="8">
        <v>24.8</v>
      </c>
      <c r="C106" s="7">
        <v>75.510000000000005</v>
      </c>
      <c r="D106" s="7">
        <v>57.14</v>
      </c>
      <c r="E106" s="8">
        <v>18.37</v>
      </c>
      <c r="F106" s="12">
        <v>2.0700231481481483E-2</v>
      </c>
      <c r="G106" s="7">
        <v>19</v>
      </c>
    </row>
    <row r="107" spans="1:7" x14ac:dyDescent="0.2">
      <c r="A107" s="10" t="s">
        <v>26</v>
      </c>
      <c r="B107" s="11">
        <v>26.5</v>
      </c>
      <c r="C107" s="10">
        <v>86.05</v>
      </c>
      <c r="D107" s="10">
        <v>62.79</v>
      </c>
      <c r="E107" s="11">
        <v>23.26</v>
      </c>
      <c r="F107" s="13">
        <v>2.0258217592592592E-2</v>
      </c>
      <c r="G107" s="10">
        <v>22</v>
      </c>
    </row>
    <row r="108" spans="1:7" x14ac:dyDescent="0.2">
      <c r="A108" s="7" t="s">
        <v>57</v>
      </c>
      <c r="B108" s="8">
        <v>29.8</v>
      </c>
      <c r="C108" s="7">
        <v>83.67</v>
      </c>
      <c r="D108" s="7">
        <v>53.06</v>
      </c>
      <c r="E108" s="8">
        <v>30.61</v>
      </c>
      <c r="F108" s="12">
        <v>2.1569675925925926E-2</v>
      </c>
      <c r="G108" s="7">
        <v>20</v>
      </c>
    </row>
    <row r="109" spans="1:7" x14ac:dyDescent="0.2">
      <c r="A109" s="10" t="s">
        <v>44</v>
      </c>
      <c r="B109" s="11">
        <v>29.1</v>
      </c>
      <c r="C109" s="10">
        <v>82.93</v>
      </c>
      <c r="D109" s="10">
        <v>60.98</v>
      </c>
      <c r="E109" s="11">
        <v>21.95</v>
      </c>
      <c r="F109" s="13">
        <v>2.020162037037037E-2</v>
      </c>
      <c r="G109" s="10">
        <v>15</v>
      </c>
    </row>
    <row r="110" spans="1:7" x14ac:dyDescent="0.2">
      <c r="A110" s="7" t="s">
        <v>128</v>
      </c>
      <c r="B110" s="8">
        <v>29.8</v>
      </c>
      <c r="C110" s="7">
        <v>76.92</v>
      </c>
      <c r="D110" s="7">
        <v>53.85</v>
      </c>
      <c r="E110" s="8">
        <v>23.08</v>
      </c>
      <c r="F110" s="12">
        <v>2.0422453703703703E-2</v>
      </c>
      <c r="G110" s="7">
        <v>21</v>
      </c>
    </row>
    <row r="111" spans="1:7" x14ac:dyDescent="0.2">
      <c r="A111" s="10" t="s">
        <v>92</v>
      </c>
      <c r="B111" s="11">
        <v>16.3</v>
      </c>
      <c r="C111" s="10">
        <v>72.97</v>
      </c>
      <c r="D111" s="10">
        <v>37.840000000000003</v>
      </c>
      <c r="E111" s="11">
        <v>35.14</v>
      </c>
      <c r="F111" s="13">
        <v>1.8183796296296295E-2</v>
      </c>
      <c r="G111" s="10">
        <v>16</v>
      </c>
    </row>
    <row r="112" spans="1:7" x14ac:dyDescent="0.2">
      <c r="A112" s="7" t="s">
        <v>100</v>
      </c>
      <c r="B112" s="8">
        <v>19.3</v>
      </c>
      <c r="C112" s="7">
        <v>93.33</v>
      </c>
      <c r="D112" s="7">
        <v>50</v>
      </c>
      <c r="E112" s="8">
        <v>43.33</v>
      </c>
      <c r="F112" s="12">
        <v>1.8906250000000003E-2</v>
      </c>
      <c r="G112" s="7">
        <v>20</v>
      </c>
    </row>
    <row r="113" spans="1:7" x14ac:dyDescent="0.2">
      <c r="A113" s="10" t="s">
        <v>64</v>
      </c>
      <c r="B113" s="11">
        <v>31.8</v>
      </c>
      <c r="C113" s="10">
        <v>88.68</v>
      </c>
      <c r="D113" s="10">
        <v>60.38</v>
      </c>
      <c r="E113" s="11">
        <v>28.3</v>
      </c>
      <c r="F113" s="13">
        <v>2.1081712962962962E-2</v>
      </c>
      <c r="G113" s="10">
        <v>15</v>
      </c>
    </row>
    <row r="114" spans="1:7" x14ac:dyDescent="0.2">
      <c r="A114" s="7" t="s">
        <v>32</v>
      </c>
      <c r="B114" s="8">
        <v>26.3</v>
      </c>
      <c r="C114" s="7">
        <v>84.44</v>
      </c>
      <c r="D114" s="7">
        <v>64.44</v>
      </c>
      <c r="E114" s="8">
        <v>20</v>
      </c>
      <c r="F114" s="12">
        <v>2.2091087962962965E-2</v>
      </c>
      <c r="G114" s="7">
        <v>19</v>
      </c>
    </row>
    <row r="115" spans="1:7" x14ac:dyDescent="0.2">
      <c r="A115" s="10" t="s">
        <v>17</v>
      </c>
      <c r="B115" s="11">
        <v>26.1</v>
      </c>
      <c r="C115" s="10">
        <v>86.05</v>
      </c>
      <c r="D115" s="10">
        <v>51.16</v>
      </c>
      <c r="E115" s="11">
        <v>34.880000000000003</v>
      </c>
      <c r="F115" s="13">
        <v>2.1132291666666664E-2</v>
      </c>
      <c r="G115" s="10">
        <v>19</v>
      </c>
    </row>
    <row r="116" spans="1:7" x14ac:dyDescent="0.2">
      <c r="A116" s="7" t="s">
        <v>41</v>
      </c>
      <c r="B116" s="8">
        <v>12</v>
      </c>
      <c r="C116" s="7">
        <v>69.569999999999993</v>
      </c>
      <c r="D116" s="7">
        <v>47.83</v>
      </c>
      <c r="E116" s="8">
        <v>21.74</v>
      </c>
      <c r="F116" s="12">
        <v>1.826585648148148E-2</v>
      </c>
      <c r="G116" s="7">
        <v>31</v>
      </c>
    </row>
    <row r="117" spans="1:7" x14ac:dyDescent="0.2">
      <c r="A117" s="10" t="s">
        <v>20</v>
      </c>
      <c r="B117" s="11">
        <v>26.2</v>
      </c>
      <c r="C117" s="10">
        <v>78.72</v>
      </c>
      <c r="D117" s="10">
        <v>63.83</v>
      </c>
      <c r="E117" s="11">
        <v>14.89</v>
      </c>
      <c r="F117" s="13">
        <v>2.1011342592592592E-2</v>
      </c>
      <c r="G117" s="10">
        <v>25</v>
      </c>
    </row>
    <row r="118" spans="1:7" x14ac:dyDescent="0.2">
      <c r="A118" s="7" t="s">
        <v>80</v>
      </c>
      <c r="B118" s="8">
        <v>20.399999999999999</v>
      </c>
      <c r="C118" s="7">
        <v>86.49</v>
      </c>
      <c r="D118" s="7">
        <v>62.16</v>
      </c>
      <c r="E118" s="8">
        <v>24.32</v>
      </c>
      <c r="F118" s="12">
        <v>2.0625925925925926E-2</v>
      </c>
      <c r="G118" s="7">
        <v>28</v>
      </c>
    </row>
    <row r="119" spans="1:7" x14ac:dyDescent="0.2">
      <c r="A119" s="10" t="s">
        <v>29</v>
      </c>
      <c r="B119" s="11">
        <v>24.7</v>
      </c>
      <c r="C119" s="10">
        <v>73.58</v>
      </c>
      <c r="D119" s="10">
        <v>56.6</v>
      </c>
      <c r="E119" s="11">
        <v>16.98</v>
      </c>
      <c r="F119" s="13">
        <v>2.1065740740740743E-2</v>
      </c>
      <c r="G119" s="10">
        <v>28</v>
      </c>
    </row>
    <row r="120" spans="1:7" x14ac:dyDescent="0.2">
      <c r="A120" s="7" t="s">
        <v>25</v>
      </c>
      <c r="B120" s="8">
        <v>31.8</v>
      </c>
      <c r="C120" s="7">
        <v>91.38</v>
      </c>
      <c r="D120" s="7">
        <v>72.41</v>
      </c>
      <c r="E120" s="8">
        <v>18.97</v>
      </c>
      <c r="F120" s="12">
        <v>2.3550578703703706E-2</v>
      </c>
      <c r="G120" s="7">
        <v>24</v>
      </c>
    </row>
    <row r="121" spans="1:7" x14ac:dyDescent="0.2">
      <c r="A121" s="10" t="s">
        <v>106</v>
      </c>
      <c r="B121" s="11">
        <v>18.3</v>
      </c>
      <c r="C121" s="10">
        <v>74.290000000000006</v>
      </c>
      <c r="D121" s="10">
        <v>37.14</v>
      </c>
      <c r="E121" s="11">
        <v>37.14</v>
      </c>
      <c r="F121" s="13">
        <v>1.9959027777777777E-2</v>
      </c>
      <c r="G121" s="10">
        <v>14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/>
  <dimension ref="A1:Q121"/>
  <sheetViews>
    <sheetView workbookViewId="0">
      <selection activeCell="Q26" sqref="I1:Q26"/>
    </sheetView>
  </sheetViews>
  <sheetFormatPr baseColWidth="10" defaultColWidth="8.83203125" defaultRowHeight="15" x14ac:dyDescent="0.2"/>
  <cols>
    <col min="3" max="3" width="10" customWidth="1"/>
    <col min="4" max="5" width="9" customWidth="1"/>
    <col min="7" max="7" width="16" customWidth="1"/>
    <col min="9" max="9" width="5.33203125" bestFit="1" customWidth="1"/>
    <col min="10" max="10" width="15.1640625" bestFit="1" customWidth="1"/>
    <col min="11" max="11" width="4.5" bestFit="1" customWidth="1"/>
    <col min="12" max="12" width="7.83203125" bestFit="1" customWidth="1"/>
    <col min="13" max="14" width="4.83203125" bestFit="1" customWidth="1"/>
    <col min="15" max="15" width="7.1640625" bestFit="1" customWidth="1"/>
    <col min="16" max="16" width="14" bestFit="1" customWidth="1"/>
  </cols>
  <sheetData>
    <row r="1" spans="1:17" x14ac:dyDescent="0.2">
      <c r="A1" s="18" t="s">
        <v>129</v>
      </c>
      <c r="B1" s="15" t="s">
        <v>130</v>
      </c>
      <c r="C1" s="17" t="s">
        <v>132</v>
      </c>
      <c r="D1" s="17" t="s">
        <v>133</v>
      </c>
      <c r="E1" s="15" t="s">
        <v>134</v>
      </c>
      <c r="F1" s="15" t="s">
        <v>135</v>
      </c>
      <c r="G1" s="17" t="s">
        <v>136</v>
      </c>
      <c r="I1" t="s">
        <v>137</v>
      </c>
      <c r="J1" t="s">
        <v>141</v>
      </c>
      <c r="K1" t="s">
        <v>130</v>
      </c>
      <c r="L1" t="s">
        <v>132</v>
      </c>
      <c r="M1" t="s">
        <v>142</v>
      </c>
      <c r="N1" t="s">
        <v>143</v>
      </c>
      <c r="O1" t="s">
        <v>135</v>
      </c>
      <c r="P1" t="s">
        <v>136</v>
      </c>
      <c r="Q1" t="s">
        <v>145</v>
      </c>
    </row>
    <row r="2" spans="1:17" x14ac:dyDescent="0.2">
      <c r="A2" s="7" t="s">
        <v>40</v>
      </c>
      <c r="B2" s="8">
        <v>26.8</v>
      </c>
      <c r="C2" s="7">
        <v>88.24</v>
      </c>
      <c r="D2" s="7">
        <v>54.9</v>
      </c>
      <c r="E2" s="8">
        <v>33.33</v>
      </c>
      <c r="F2" s="12">
        <v>2.164976851851852E-2</v>
      </c>
      <c r="G2" s="7">
        <v>17</v>
      </c>
      <c r="I2">
        <v>1</v>
      </c>
      <c r="J2" t="s">
        <v>108</v>
      </c>
      <c r="K2">
        <f>VLOOKUP($J2,Offense2008[],2)</f>
        <v>43.6</v>
      </c>
      <c r="L2">
        <f>VLOOKUP($J2,Offense2008[],3)</f>
        <v>91.18</v>
      </c>
      <c r="M2">
        <f>VLOOKUP($J2,Offense2008[],4)</f>
        <v>75</v>
      </c>
      <c r="N2">
        <f>VLOOKUP($J2,Offense2008[],5)</f>
        <v>16.18</v>
      </c>
      <c r="O2" s="1">
        <f>VLOOKUP($J2,Offense2008[],6)</f>
        <v>2.090613425925926E-2</v>
      </c>
      <c r="P2">
        <f>VLOOKUP($J2,Offense2008[],7)</f>
        <v>13</v>
      </c>
      <c r="Q2">
        <v>2008</v>
      </c>
    </row>
    <row r="3" spans="1:17" x14ac:dyDescent="0.2">
      <c r="A3" s="10" t="s">
        <v>103</v>
      </c>
      <c r="B3" s="11">
        <v>30</v>
      </c>
      <c r="C3" s="10">
        <v>81.48</v>
      </c>
      <c r="D3" s="10">
        <v>53.7</v>
      </c>
      <c r="E3" s="11">
        <v>27.78</v>
      </c>
      <c r="F3" s="13">
        <v>2.0866087962962961E-2</v>
      </c>
      <c r="G3" s="10">
        <v>20</v>
      </c>
      <c r="I3">
        <v>2</v>
      </c>
      <c r="J3" t="s">
        <v>57</v>
      </c>
      <c r="K3">
        <f>VLOOKUP($J3,Offense2008[],2)</f>
        <v>36.9</v>
      </c>
      <c r="L3">
        <f>VLOOKUP($J3,Offense2008[],3)</f>
        <v>91.07</v>
      </c>
      <c r="M3">
        <f>VLOOKUP($J3,Offense2008[],4)</f>
        <v>71.430000000000007</v>
      </c>
      <c r="N3">
        <f>VLOOKUP($J3,Offense2008[],5)</f>
        <v>19.64</v>
      </c>
      <c r="O3" s="1">
        <f>VLOOKUP($J3,Offense2008[],6)</f>
        <v>2.2466203703703707E-2</v>
      </c>
      <c r="P3">
        <f>VLOOKUP($J3,Offense2008[],7)</f>
        <v>18</v>
      </c>
      <c r="Q3">
        <v>2008</v>
      </c>
    </row>
    <row r="4" spans="1:17" x14ac:dyDescent="0.2">
      <c r="A4" s="7" t="s">
        <v>11</v>
      </c>
      <c r="B4" s="8">
        <v>30.1</v>
      </c>
      <c r="C4" s="7">
        <v>85.19</v>
      </c>
      <c r="D4" s="7">
        <v>57.41</v>
      </c>
      <c r="E4" s="8">
        <v>27.78</v>
      </c>
      <c r="F4" s="12">
        <v>2.2259374999999998E-2</v>
      </c>
      <c r="G4" s="7">
        <v>19</v>
      </c>
      <c r="I4">
        <v>3</v>
      </c>
      <c r="J4" t="s">
        <v>26</v>
      </c>
      <c r="K4">
        <f>VLOOKUP($J4,Offense2008[],2)</f>
        <v>37.5</v>
      </c>
      <c r="L4">
        <f>VLOOKUP($J4,Offense2008[],3)</f>
        <v>84.13</v>
      </c>
      <c r="M4">
        <f>VLOOKUP($J4,Offense2008[],4)</f>
        <v>71.430000000000007</v>
      </c>
      <c r="N4">
        <f>VLOOKUP($J4,Offense2008[],5)</f>
        <v>12.7</v>
      </c>
      <c r="O4" s="1">
        <f>VLOOKUP($J4,Offense2008[],6)</f>
        <v>2.1695138888888885E-2</v>
      </c>
      <c r="P4">
        <f>VLOOKUP($J4,Offense2008[],7)</f>
        <v>22</v>
      </c>
      <c r="Q4">
        <v>2008</v>
      </c>
    </row>
    <row r="5" spans="1:17" x14ac:dyDescent="0.2">
      <c r="A5" s="10" t="s">
        <v>5</v>
      </c>
      <c r="B5" s="11">
        <v>36.6</v>
      </c>
      <c r="C5" s="10">
        <v>91.67</v>
      </c>
      <c r="D5" s="10">
        <v>75</v>
      </c>
      <c r="E5" s="11">
        <v>16.670000000000002</v>
      </c>
      <c r="F5" s="13">
        <v>2.2346874999999999E-2</v>
      </c>
      <c r="G5" s="10">
        <v>19</v>
      </c>
      <c r="I5">
        <v>4</v>
      </c>
      <c r="J5" t="s">
        <v>61</v>
      </c>
      <c r="K5">
        <f>VLOOKUP($J5,Offense2008[],2)</f>
        <v>42.4</v>
      </c>
      <c r="L5">
        <f>VLOOKUP($J5,Offense2008[],3)</f>
        <v>89.71</v>
      </c>
      <c r="M5">
        <f>VLOOKUP($J5,Offense2008[],4)</f>
        <v>76.47</v>
      </c>
      <c r="N5">
        <f>VLOOKUP($J5,Offense2008[],5)</f>
        <v>13.24</v>
      </c>
      <c r="O5" s="1">
        <f>VLOOKUP($J5,Offense2008[],6)</f>
        <v>2.2568518518518516E-2</v>
      </c>
      <c r="P5">
        <f>VLOOKUP($J5,Offense2008[],7)</f>
        <v>14</v>
      </c>
      <c r="Q5">
        <v>2008</v>
      </c>
    </row>
    <row r="6" spans="1:17" x14ac:dyDescent="0.2">
      <c r="A6" s="7" t="s">
        <v>38</v>
      </c>
      <c r="B6" s="8">
        <v>22.8</v>
      </c>
      <c r="C6" s="7">
        <v>85.37</v>
      </c>
      <c r="D6" s="7">
        <v>41.46</v>
      </c>
      <c r="E6" s="8">
        <v>43.9</v>
      </c>
      <c r="F6" s="12">
        <v>2.013310185185185E-2</v>
      </c>
      <c r="G6" s="7">
        <v>18</v>
      </c>
      <c r="I6">
        <v>5</v>
      </c>
      <c r="J6" t="s">
        <v>3</v>
      </c>
      <c r="K6">
        <f>VLOOKUP($J6,Offense2008[],2)</f>
        <v>51.1</v>
      </c>
      <c r="L6">
        <f>VLOOKUP($J6,Offense2008[],3)</f>
        <v>92.86</v>
      </c>
      <c r="M6">
        <f>VLOOKUP($J6,Offense2008[],4)</f>
        <v>84.52</v>
      </c>
      <c r="N6">
        <f>VLOOKUP($J6,Offense2008[],5)</f>
        <v>8.33</v>
      </c>
      <c r="O6" s="1">
        <f>VLOOKUP($J6,Offense2008[],6)</f>
        <v>2.0436458333333334E-2</v>
      </c>
      <c r="P6">
        <f>VLOOKUP($J6,Offense2008[],7)</f>
        <v>11</v>
      </c>
      <c r="Q6">
        <v>2008</v>
      </c>
    </row>
    <row r="7" spans="1:17" x14ac:dyDescent="0.2">
      <c r="A7" s="10" t="s">
        <v>63</v>
      </c>
      <c r="B7" s="11">
        <v>21.9</v>
      </c>
      <c r="C7" s="10">
        <v>79.489999999999995</v>
      </c>
      <c r="D7" s="10">
        <v>58.97</v>
      </c>
      <c r="E7" s="11">
        <v>20.51</v>
      </c>
      <c r="F7" s="13">
        <v>2.1133333333333334E-2</v>
      </c>
      <c r="G7" s="10">
        <v>25</v>
      </c>
      <c r="I7">
        <v>6</v>
      </c>
      <c r="J7" t="s">
        <v>11</v>
      </c>
      <c r="K7">
        <f>VLOOKUP($J7,Offense2008[],2)</f>
        <v>30.1</v>
      </c>
      <c r="L7">
        <f>VLOOKUP($J7,Offense2008[],3)</f>
        <v>85.19</v>
      </c>
      <c r="M7">
        <f>VLOOKUP($J7,Offense2008[],4)</f>
        <v>57.41</v>
      </c>
      <c r="N7">
        <f>VLOOKUP($J7,Offense2008[],5)</f>
        <v>27.78</v>
      </c>
      <c r="O7" s="1">
        <f>VLOOKUP($J7,Offense2008[],6)</f>
        <v>2.2259374999999998E-2</v>
      </c>
      <c r="P7">
        <f>VLOOKUP($J7,Offense2008[],7)</f>
        <v>19</v>
      </c>
      <c r="Q7">
        <v>2008</v>
      </c>
    </row>
    <row r="8" spans="1:17" x14ac:dyDescent="0.2">
      <c r="A8" s="7" t="s">
        <v>8</v>
      </c>
      <c r="B8" s="8">
        <v>27</v>
      </c>
      <c r="C8" s="7">
        <v>85.11</v>
      </c>
      <c r="D8" s="7">
        <v>55.32</v>
      </c>
      <c r="E8" s="8">
        <v>29.79</v>
      </c>
      <c r="F8" s="12">
        <v>2.2801851851851851E-2</v>
      </c>
      <c r="G8" s="7">
        <v>15</v>
      </c>
      <c r="I8">
        <v>7</v>
      </c>
      <c r="J8" t="s">
        <v>27</v>
      </c>
      <c r="K8">
        <f>VLOOKUP($J8,Offense2008[],2)</f>
        <v>33.6</v>
      </c>
      <c r="L8">
        <f>VLOOKUP($J8,Offense2008[],3)</f>
        <v>89.23</v>
      </c>
      <c r="M8">
        <f>VLOOKUP($J8,Offense2008[],4)</f>
        <v>70.77</v>
      </c>
      <c r="N8">
        <f>VLOOKUP($J8,Offense2008[],5)</f>
        <v>18.46</v>
      </c>
      <c r="O8" s="1">
        <f>VLOOKUP($J8,Offense2008[],6)</f>
        <v>2.4254861111111109E-2</v>
      </c>
      <c r="P8">
        <f>VLOOKUP($J8,Offense2008[],7)</f>
        <v>15</v>
      </c>
      <c r="Q8">
        <v>2008</v>
      </c>
    </row>
    <row r="9" spans="1:17" x14ac:dyDescent="0.2">
      <c r="A9" s="10" t="s">
        <v>42</v>
      </c>
      <c r="B9" s="11">
        <v>14.8</v>
      </c>
      <c r="C9" s="10">
        <v>84.62</v>
      </c>
      <c r="D9" s="10">
        <v>57.69</v>
      </c>
      <c r="E9" s="11">
        <v>26.92</v>
      </c>
      <c r="F9" s="13">
        <v>2.2046643518518514E-2</v>
      </c>
      <c r="G9" s="10">
        <v>30</v>
      </c>
      <c r="I9">
        <v>8</v>
      </c>
      <c r="J9" t="s">
        <v>6</v>
      </c>
      <c r="K9">
        <f>VLOOKUP($J9,Offense2008[],2)</f>
        <v>38.9</v>
      </c>
      <c r="L9">
        <f>VLOOKUP($J9,Offense2008[],3)</f>
        <v>92.42</v>
      </c>
      <c r="M9">
        <f>VLOOKUP($J9,Offense2008[],4)</f>
        <v>66.67</v>
      </c>
      <c r="N9">
        <f>VLOOKUP($J9,Offense2008[],5)</f>
        <v>25.76</v>
      </c>
      <c r="O9" s="1">
        <f>VLOOKUP($J9,Offense2008[],6)</f>
        <v>2.203263888888889E-2</v>
      </c>
      <c r="P9">
        <f>VLOOKUP($J9,Offense2008[],7)</f>
        <v>16</v>
      </c>
      <c r="Q9">
        <v>2008</v>
      </c>
    </row>
    <row r="10" spans="1:17" x14ac:dyDescent="0.2">
      <c r="A10" s="7" t="s">
        <v>19</v>
      </c>
      <c r="B10" s="8">
        <v>17.3</v>
      </c>
      <c r="C10" s="7">
        <v>57.14</v>
      </c>
      <c r="D10" s="7">
        <v>37.14</v>
      </c>
      <c r="E10" s="8">
        <v>20</v>
      </c>
      <c r="F10" s="12">
        <v>2.0974189814814817E-2</v>
      </c>
      <c r="G10" s="7">
        <v>26</v>
      </c>
      <c r="I10">
        <v>9</v>
      </c>
      <c r="J10" t="s">
        <v>4</v>
      </c>
      <c r="K10">
        <f>VLOOKUP($J10,Offense2008[],2)</f>
        <v>27.6</v>
      </c>
      <c r="L10">
        <f>VLOOKUP($J10,Offense2008[],3)</f>
        <v>95.12</v>
      </c>
      <c r="M10">
        <f>VLOOKUP($J10,Offense2008[],4)</f>
        <v>60.98</v>
      </c>
      <c r="N10">
        <f>VLOOKUP($J10,Offense2008[],5)</f>
        <v>34.15</v>
      </c>
      <c r="O10" s="1">
        <f>VLOOKUP($J10,Offense2008[],6)</f>
        <v>2.2010300925925926E-2</v>
      </c>
      <c r="P10">
        <f>VLOOKUP($J10,Offense2008[],7)</f>
        <v>13</v>
      </c>
      <c r="Q10">
        <v>2008</v>
      </c>
    </row>
    <row r="11" spans="1:17" x14ac:dyDescent="0.2">
      <c r="A11" s="10" t="s">
        <v>120</v>
      </c>
      <c r="B11" s="11">
        <v>34.9</v>
      </c>
      <c r="C11" s="10">
        <v>85.48</v>
      </c>
      <c r="D11" s="10">
        <v>69.349999999999994</v>
      </c>
      <c r="E11" s="11">
        <v>16.13</v>
      </c>
      <c r="F11" s="13">
        <v>2.114826388888889E-2</v>
      </c>
      <c r="G11" s="10">
        <v>18</v>
      </c>
      <c r="I11">
        <v>10</v>
      </c>
      <c r="J11" t="s">
        <v>18</v>
      </c>
      <c r="K11">
        <f>VLOOKUP($J11,Offense2008[],2)</f>
        <v>41.9</v>
      </c>
      <c r="L11">
        <f>VLOOKUP($J11,Offense2008[],3)</f>
        <v>82.35</v>
      </c>
      <c r="M11">
        <f>VLOOKUP($J11,Offense2008[],4)</f>
        <v>61.76</v>
      </c>
      <c r="N11">
        <f>VLOOKUP($J11,Offense2008[],5)</f>
        <v>20.59</v>
      </c>
      <c r="O11" s="1">
        <f>VLOOKUP($J11,Offense2008[],6)</f>
        <v>1.7488425925925925E-2</v>
      </c>
      <c r="P11">
        <f>VLOOKUP($J11,Offense2008[],7)</f>
        <v>26</v>
      </c>
      <c r="Q11">
        <v>2008</v>
      </c>
    </row>
    <row r="12" spans="1:17" x14ac:dyDescent="0.2">
      <c r="A12" s="7" t="s">
        <v>94</v>
      </c>
      <c r="B12" s="8">
        <v>28</v>
      </c>
      <c r="C12" s="7">
        <v>79.069999999999993</v>
      </c>
      <c r="D12" s="7">
        <v>65.12</v>
      </c>
      <c r="E12" s="8">
        <v>13.95</v>
      </c>
      <c r="F12" s="12">
        <v>1.9391435185185185E-2</v>
      </c>
      <c r="G12" s="7">
        <v>11</v>
      </c>
      <c r="I12">
        <v>11</v>
      </c>
      <c r="J12" t="s">
        <v>33</v>
      </c>
      <c r="K12">
        <f>VLOOKUP($J12,Offense2008[],2)</f>
        <v>37.6</v>
      </c>
      <c r="L12">
        <f>VLOOKUP($J12,Offense2008[],3)</f>
        <v>83.33</v>
      </c>
      <c r="M12">
        <f>VLOOKUP($J12,Offense2008[],4)</f>
        <v>66.67</v>
      </c>
      <c r="N12">
        <f>VLOOKUP($J12,Offense2008[],5)</f>
        <v>16.670000000000002</v>
      </c>
      <c r="O12" s="1">
        <f>VLOOKUP($J12,Offense2008[],6)</f>
        <v>1.9999074074074075E-2</v>
      </c>
      <c r="P12">
        <f>VLOOKUP($J12,Offense2008[],7)</f>
        <v>26</v>
      </c>
      <c r="Q12">
        <v>2008</v>
      </c>
    </row>
    <row r="13" spans="1:17" x14ac:dyDescent="0.2">
      <c r="A13" s="10" t="s">
        <v>33</v>
      </c>
      <c r="B13" s="11">
        <v>37.6</v>
      </c>
      <c r="C13" s="10">
        <v>83.33</v>
      </c>
      <c r="D13" s="10">
        <v>66.67</v>
      </c>
      <c r="E13" s="11">
        <v>16.670000000000002</v>
      </c>
      <c r="F13" s="13">
        <v>1.9999074074074075E-2</v>
      </c>
      <c r="G13" s="10">
        <v>26</v>
      </c>
      <c r="I13">
        <v>12</v>
      </c>
      <c r="J13" t="s">
        <v>28</v>
      </c>
      <c r="K13">
        <f>VLOOKUP($J13,Offense2008[],2)</f>
        <v>43.8</v>
      </c>
      <c r="L13">
        <f>VLOOKUP($J13,Offense2008[],3)</f>
        <v>86.67</v>
      </c>
      <c r="M13">
        <f>VLOOKUP($J13,Offense2008[],4)</f>
        <v>77.33</v>
      </c>
      <c r="N13">
        <f>VLOOKUP($J13,Offense2008[],5)</f>
        <v>9.33</v>
      </c>
      <c r="O13" s="1">
        <f>VLOOKUP($J13,Offense2008[],6)</f>
        <v>2.1025694444444448E-2</v>
      </c>
      <c r="P13">
        <f>VLOOKUP($J13,Offense2008[],7)</f>
        <v>21</v>
      </c>
      <c r="Q13">
        <v>2008</v>
      </c>
    </row>
    <row r="14" spans="1:17" x14ac:dyDescent="0.2">
      <c r="A14" s="7" t="s">
        <v>79</v>
      </c>
      <c r="B14" s="8">
        <v>24.7</v>
      </c>
      <c r="C14" s="7">
        <v>84.31</v>
      </c>
      <c r="D14" s="7">
        <v>56.86</v>
      </c>
      <c r="E14" s="8">
        <v>27.45</v>
      </c>
      <c r="F14" s="12">
        <v>2.1495486111111111E-2</v>
      </c>
      <c r="G14" s="7">
        <v>33</v>
      </c>
      <c r="I14">
        <v>13</v>
      </c>
      <c r="J14" t="s">
        <v>22</v>
      </c>
      <c r="K14">
        <f>VLOOKUP($J14,Offense2008[],2)</f>
        <v>31.5</v>
      </c>
      <c r="L14">
        <f>VLOOKUP($J14,Offense2008[],3)</f>
        <v>83.67</v>
      </c>
      <c r="M14">
        <f>VLOOKUP($J14,Offense2008[],4)</f>
        <v>65.31</v>
      </c>
      <c r="N14">
        <f>VLOOKUP($J14,Offense2008[],5)</f>
        <v>18.37</v>
      </c>
      <c r="O14" s="1">
        <f>VLOOKUP($J14,Offense2008[],6)</f>
        <v>2.1493981481481485E-2</v>
      </c>
      <c r="P14">
        <f>VLOOKUP($J14,Offense2008[],7)</f>
        <v>19</v>
      </c>
      <c r="Q14">
        <v>2008</v>
      </c>
    </row>
    <row r="15" spans="1:17" x14ac:dyDescent="0.2">
      <c r="A15" s="10" t="s">
        <v>87</v>
      </c>
      <c r="B15" s="11">
        <v>27.7</v>
      </c>
      <c r="C15" s="10">
        <v>84.78</v>
      </c>
      <c r="D15" s="10">
        <v>67.39</v>
      </c>
      <c r="E15" s="11">
        <v>17.39</v>
      </c>
      <c r="F15" s="13">
        <v>2.0558449074074076E-2</v>
      </c>
      <c r="G15" s="10">
        <v>21</v>
      </c>
      <c r="I15">
        <v>14</v>
      </c>
      <c r="J15" t="s">
        <v>34</v>
      </c>
      <c r="K15">
        <f>VLOOKUP($J15,Offense2008[],2)</f>
        <v>32.1</v>
      </c>
      <c r="L15">
        <f>VLOOKUP($J15,Offense2008[],3)</f>
        <v>80.36</v>
      </c>
      <c r="M15">
        <f>VLOOKUP($J15,Offense2008[],4)</f>
        <v>55.36</v>
      </c>
      <c r="N15">
        <f>VLOOKUP($J15,Offense2008[],5)</f>
        <v>25</v>
      </c>
      <c r="O15" s="1">
        <f>VLOOKUP($J15,Offense2008[],6)</f>
        <v>2.0990972222222223E-2</v>
      </c>
      <c r="P15">
        <f>VLOOKUP($J15,Offense2008[],7)</f>
        <v>25</v>
      </c>
      <c r="Q15">
        <v>2008</v>
      </c>
    </row>
    <row r="16" spans="1:17" x14ac:dyDescent="0.2">
      <c r="A16" s="7" t="s">
        <v>66</v>
      </c>
      <c r="B16" s="8">
        <v>30.3</v>
      </c>
      <c r="C16" s="7">
        <v>85.19</v>
      </c>
      <c r="D16" s="7">
        <v>64.81</v>
      </c>
      <c r="E16" s="8">
        <v>20.37</v>
      </c>
      <c r="F16" s="12">
        <v>2.159965277777778E-2</v>
      </c>
      <c r="G16" s="7">
        <v>14</v>
      </c>
      <c r="I16">
        <v>15</v>
      </c>
      <c r="J16" t="s">
        <v>64</v>
      </c>
      <c r="K16">
        <f>VLOOKUP($J16,Offense2008[],2)</f>
        <v>22.1</v>
      </c>
      <c r="L16">
        <f>VLOOKUP($J16,Offense2008[],3)</f>
        <v>74.14</v>
      </c>
      <c r="M16">
        <f>VLOOKUP($J16,Offense2008[],4)</f>
        <v>46.55</v>
      </c>
      <c r="N16">
        <f>VLOOKUP($J16,Offense2008[],5)</f>
        <v>27.59</v>
      </c>
      <c r="O16" s="1">
        <f>VLOOKUP($J16,Offense2008[],6)</f>
        <v>2.2919097222222226E-2</v>
      </c>
      <c r="P16">
        <f>VLOOKUP($J16,Offense2008[],7)</f>
        <v>20</v>
      </c>
      <c r="Q16">
        <v>2008</v>
      </c>
    </row>
    <row r="17" spans="1:17" x14ac:dyDescent="0.2">
      <c r="A17" s="10" t="s">
        <v>122</v>
      </c>
      <c r="B17" s="11">
        <v>34.200000000000003</v>
      </c>
      <c r="C17" s="10">
        <v>81.540000000000006</v>
      </c>
      <c r="D17" s="10">
        <v>70.77</v>
      </c>
      <c r="E17" s="11">
        <v>10.77</v>
      </c>
      <c r="F17" s="13">
        <v>2.1049652777777775E-2</v>
      </c>
      <c r="G17" s="10">
        <v>28</v>
      </c>
      <c r="I17">
        <v>16</v>
      </c>
      <c r="J17" t="s">
        <v>2</v>
      </c>
      <c r="K17">
        <f>VLOOKUP($J17,Offense2008[],2)</f>
        <v>40.799999999999997</v>
      </c>
      <c r="L17">
        <f>VLOOKUP($J17,Offense2008[],3)</f>
        <v>89.47</v>
      </c>
      <c r="M17">
        <f>VLOOKUP($J17,Offense2008[],4)</f>
        <v>68.42</v>
      </c>
      <c r="N17">
        <f>VLOOKUP($J17,Offense2008[],5)</f>
        <v>21.05</v>
      </c>
      <c r="O17" s="1">
        <f>VLOOKUP($J17,Offense2008[],6)</f>
        <v>2.162928240740741E-2</v>
      </c>
      <c r="P17">
        <f>VLOOKUP($J17,Offense2008[],7)</f>
        <v>20</v>
      </c>
      <c r="Q17">
        <v>2008</v>
      </c>
    </row>
    <row r="18" spans="1:17" x14ac:dyDescent="0.2">
      <c r="A18" s="7" t="s">
        <v>72</v>
      </c>
      <c r="B18" s="8">
        <v>32.6</v>
      </c>
      <c r="C18" s="7">
        <v>82.35</v>
      </c>
      <c r="D18" s="7">
        <v>58.82</v>
      </c>
      <c r="E18" s="8">
        <v>23.53</v>
      </c>
      <c r="F18" s="12">
        <v>2.0212731481481481E-2</v>
      </c>
      <c r="G18" s="7">
        <v>19</v>
      </c>
      <c r="I18">
        <v>17</v>
      </c>
      <c r="J18" t="s">
        <v>110</v>
      </c>
      <c r="K18">
        <f>VLOOKUP($J18,Offense2008[],2)</f>
        <v>25.9</v>
      </c>
      <c r="L18">
        <f>VLOOKUP($J18,Offense2008[],3)</f>
        <v>82</v>
      </c>
      <c r="M18">
        <f>VLOOKUP($J18,Offense2008[],4)</f>
        <v>64</v>
      </c>
      <c r="N18">
        <f>VLOOKUP($J18,Offense2008[],5)</f>
        <v>18</v>
      </c>
      <c r="O18" s="1">
        <f>VLOOKUP($J18,Offense2008[],6)</f>
        <v>2.0777083333333331E-2</v>
      </c>
      <c r="P18">
        <f>VLOOKUP($J18,Offense2008[],7)</f>
        <v>30</v>
      </c>
      <c r="Q18">
        <v>2008</v>
      </c>
    </row>
    <row r="19" spans="1:17" x14ac:dyDescent="0.2">
      <c r="A19" s="10" t="s">
        <v>54</v>
      </c>
      <c r="B19" s="11">
        <v>29.5</v>
      </c>
      <c r="C19" s="10">
        <v>85.45</v>
      </c>
      <c r="D19" s="10">
        <v>61.82</v>
      </c>
      <c r="E19" s="11">
        <v>23.64</v>
      </c>
      <c r="F19" s="13">
        <v>2.0708680555555557E-2</v>
      </c>
      <c r="G19" s="10">
        <v>12</v>
      </c>
      <c r="I19">
        <v>18</v>
      </c>
      <c r="J19" t="s">
        <v>112</v>
      </c>
      <c r="K19">
        <f>VLOOKUP($J19,Offense2008[],2)</f>
        <v>30.5</v>
      </c>
      <c r="L19">
        <f>VLOOKUP($J19,Offense2008[],3)</f>
        <v>81.97</v>
      </c>
      <c r="M19">
        <f>VLOOKUP($J19,Offense2008[],4)</f>
        <v>60.66</v>
      </c>
      <c r="N19">
        <f>VLOOKUP($J19,Offense2008[],5)</f>
        <v>21.31</v>
      </c>
      <c r="O19" s="1">
        <f>VLOOKUP($J19,Offense2008[],6)</f>
        <v>2.2123379629629628E-2</v>
      </c>
      <c r="P19">
        <f>VLOOKUP($J19,Offense2008[],7)</f>
        <v>21</v>
      </c>
      <c r="Q19">
        <v>2008</v>
      </c>
    </row>
    <row r="20" spans="1:17" x14ac:dyDescent="0.2">
      <c r="A20" s="7" t="s">
        <v>110</v>
      </c>
      <c r="B20" s="8">
        <v>25.9</v>
      </c>
      <c r="C20" s="7">
        <v>82</v>
      </c>
      <c r="D20" s="7">
        <v>64</v>
      </c>
      <c r="E20" s="8">
        <v>18</v>
      </c>
      <c r="F20" s="12">
        <v>2.0777083333333331E-2</v>
      </c>
      <c r="G20" s="7">
        <v>30</v>
      </c>
      <c r="I20">
        <v>19</v>
      </c>
      <c r="J20" t="s">
        <v>10</v>
      </c>
      <c r="K20">
        <f>VLOOKUP($J20,Offense2008[],2)</f>
        <v>42.2</v>
      </c>
      <c r="L20">
        <f>VLOOKUP($J20,Offense2008[],3)</f>
        <v>89.39</v>
      </c>
      <c r="M20">
        <f>VLOOKUP($J20,Offense2008[],4)</f>
        <v>71.209999999999994</v>
      </c>
      <c r="N20">
        <f>VLOOKUP($J20,Offense2008[],5)</f>
        <v>18.18</v>
      </c>
      <c r="O20" s="1">
        <f>VLOOKUP($J20,Offense2008[],6)</f>
        <v>1.7929861111111108E-2</v>
      </c>
      <c r="P20">
        <f>VLOOKUP($J20,Offense2008[],7)</f>
        <v>26</v>
      </c>
      <c r="Q20">
        <v>2008</v>
      </c>
    </row>
    <row r="21" spans="1:17" x14ac:dyDescent="0.2">
      <c r="A21" s="10" t="s">
        <v>24</v>
      </c>
      <c r="B21" s="11">
        <v>25.2</v>
      </c>
      <c r="C21" s="10">
        <v>81.400000000000006</v>
      </c>
      <c r="D21" s="10">
        <v>53.49</v>
      </c>
      <c r="E21" s="11">
        <v>27.91</v>
      </c>
      <c r="F21" s="13">
        <v>2.0358796296296295E-2</v>
      </c>
      <c r="G21" s="10">
        <v>29</v>
      </c>
      <c r="I21">
        <v>20</v>
      </c>
      <c r="J21" t="s">
        <v>68</v>
      </c>
      <c r="K21">
        <f>VLOOKUP($J21,Offense2008[],2)</f>
        <v>30.3</v>
      </c>
      <c r="L21">
        <f>VLOOKUP($J21,Offense2008[],3)</f>
        <v>84.21</v>
      </c>
      <c r="M21">
        <f>VLOOKUP($J21,Offense2008[],4)</f>
        <v>56.14</v>
      </c>
      <c r="N21">
        <f>VLOOKUP($J21,Offense2008[],5)</f>
        <v>28.07</v>
      </c>
      <c r="O21" s="1">
        <f>VLOOKUP($J21,Offense2008[],6)</f>
        <v>2.1884837962962964E-2</v>
      </c>
      <c r="P21">
        <f>VLOOKUP($J21,Offense2008[],7)</f>
        <v>24</v>
      </c>
      <c r="Q21">
        <v>2008</v>
      </c>
    </row>
    <row r="22" spans="1:17" x14ac:dyDescent="0.2">
      <c r="A22" s="7" t="s">
        <v>77</v>
      </c>
      <c r="B22" s="8">
        <v>20.2</v>
      </c>
      <c r="C22" s="7">
        <v>72.22</v>
      </c>
      <c r="D22" s="7">
        <v>55.56</v>
      </c>
      <c r="E22" s="8">
        <v>16.670000000000002</v>
      </c>
      <c r="F22" s="12">
        <v>2.0105092592592595E-2</v>
      </c>
      <c r="G22" s="7">
        <v>24</v>
      </c>
      <c r="I22">
        <v>21</v>
      </c>
      <c r="J22" t="s">
        <v>88</v>
      </c>
      <c r="K22">
        <f>VLOOKUP($J22,Offense2008[],2)</f>
        <v>33.4</v>
      </c>
      <c r="L22">
        <f>VLOOKUP($J22,Offense2008[],3)</f>
        <v>90.57</v>
      </c>
      <c r="M22">
        <f>VLOOKUP($J22,Offense2008[],4)</f>
        <v>60.38</v>
      </c>
      <c r="N22">
        <f>VLOOKUP($J22,Offense2008[],5)</f>
        <v>30.19</v>
      </c>
      <c r="O22" s="1">
        <f>VLOOKUP($J22,Offense2008[],6)</f>
        <v>2.1940856481481485E-2</v>
      </c>
      <c r="P22">
        <f>VLOOKUP($J22,Offense2008[],7)</f>
        <v>26</v>
      </c>
      <c r="Q22">
        <v>2008</v>
      </c>
    </row>
    <row r="23" spans="1:17" x14ac:dyDescent="0.2">
      <c r="A23" s="10" t="s">
        <v>30</v>
      </c>
      <c r="B23" s="11">
        <v>25.2</v>
      </c>
      <c r="C23" s="10">
        <v>82.22</v>
      </c>
      <c r="D23" s="10">
        <v>51.11</v>
      </c>
      <c r="E23" s="11">
        <v>31.11</v>
      </c>
      <c r="F23" s="13">
        <v>2.2169675925925923E-2</v>
      </c>
      <c r="G23" s="10">
        <v>20</v>
      </c>
      <c r="I23">
        <v>22</v>
      </c>
      <c r="J23" t="s">
        <v>71</v>
      </c>
      <c r="K23">
        <f>VLOOKUP($J23,Offense2008[],2)</f>
        <v>24.4</v>
      </c>
      <c r="L23">
        <f>VLOOKUP($J23,Offense2008[],3)</f>
        <v>76.92</v>
      </c>
      <c r="M23">
        <f>VLOOKUP($J23,Offense2008[],4)</f>
        <v>46.15</v>
      </c>
      <c r="N23">
        <f>VLOOKUP($J23,Offense2008[],5)</f>
        <v>30.77</v>
      </c>
      <c r="O23" s="1">
        <f>VLOOKUP($J23,Offense2008[],6)</f>
        <v>2.1188541666666668E-2</v>
      </c>
      <c r="P23">
        <f>VLOOKUP($J23,Offense2008[],7)</f>
        <v>27</v>
      </c>
      <c r="Q23">
        <v>2008</v>
      </c>
    </row>
    <row r="24" spans="1:17" x14ac:dyDescent="0.2">
      <c r="A24" s="7" t="s">
        <v>101</v>
      </c>
      <c r="B24" s="8">
        <v>24.9</v>
      </c>
      <c r="C24" s="7">
        <v>78.430000000000007</v>
      </c>
      <c r="D24" s="7">
        <v>45.1</v>
      </c>
      <c r="E24" s="8">
        <v>33.33</v>
      </c>
      <c r="F24" s="12">
        <v>2.2021064814814816E-2</v>
      </c>
      <c r="G24" s="7">
        <v>29</v>
      </c>
      <c r="I24">
        <v>23</v>
      </c>
      <c r="J24" t="s">
        <v>20</v>
      </c>
      <c r="K24">
        <f>VLOOKUP($J24,Offense2008[],2)</f>
        <v>24.5</v>
      </c>
      <c r="L24">
        <f>VLOOKUP($J24,Offense2008[],3)</f>
        <v>69.77</v>
      </c>
      <c r="M24">
        <f>VLOOKUP($J24,Offense2008[],4)</f>
        <v>46.51</v>
      </c>
      <c r="N24">
        <f>VLOOKUP($J24,Offense2008[],5)</f>
        <v>23.26</v>
      </c>
      <c r="O24" s="1">
        <f>VLOOKUP($J24,Offense2008[],6)</f>
        <v>2.0159375E-2</v>
      </c>
      <c r="P24">
        <f>VLOOKUP($J24,Offense2008[],7)</f>
        <v>16</v>
      </c>
      <c r="Q24">
        <v>2008</v>
      </c>
    </row>
    <row r="25" spans="1:17" x14ac:dyDescent="0.2">
      <c r="A25" s="10" t="s">
        <v>85</v>
      </c>
      <c r="B25" s="11">
        <v>20.100000000000001</v>
      </c>
      <c r="C25" s="10">
        <v>70</v>
      </c>
      <c r="D25" s="10">
        <v>47.5</v>
      </c>
      <c r="E25" s="11">
        <v>22.5</v>
      </c>
      <c r="F25" s="13">
        <v>2.1241319444444445E-2</v>
      </c>
      <c r="G25" s="10">
        <v>21</v>
      </c>
      <c r="I25">
        <v>24</v>
      </c>
      <c r="J25" t="s">
        <v>104</v>
      </c>
      <c r="K25">
        <f>VLOOKUP($J25,Offense2008[],2)</f>
        <v>25.1</v>
      </c>
      <c r="L25">
        <f>VLOOKUP($J25,Offense2008[],3)</f>
        <v>84.91</v>
      </c>
      <c r="M25">
        <f>VLOOKUP($J25,Offense2008[],4)</f>
        <v>54.72</v>
      </c>
      <c r="N25">
        <f>VLOOKUP($J25,Offense2008[],5)</f>
        <v>30.19</v>
      </c>
      <c r="O25" s="1">
        <f>VLOOKUP($J25,Offense2008[],6)</f>
        <v>2.154375E-2</v>
      </c>
      <c r="P25">
        <f>VLOOKUP($J25,Offense2008[],7)</f>
        <v>22</v>
      </c>
      <c r="Q25">
        <v>2008</v>
      </c>
    </row>
    <row r="26" spans="1:17" x14ac:dyDescent="0.2">
      <c r="A26" s="7" t="s">
        <v>89</v>
      </c>
      <c r="B26" s="8">
        <v>23.4</v>
      </c>
      <c r="C26" s="7">
        <v>83.72</v>
      </c>
      <c r="D26" s="7">
        <v>51.16</v>
      </c>
      <c r="E26" s="8">
        <v>32.56</v>
      </c>
      <c r="F26" s="12">
        <v>2.1273148148148149E-2</v>
      </c>
      <c r="G26" s="7">
        <v>28</v>
      </c>
      <c r="I26">
        <v>25</v>
      </c>
      <c r="J26" t="s">
        <v>122</v>
      </c>
      <c r="K26">
        <f>VLOOKUP($J26,Offense2008[],2)</f>
        <v>34.200000000000003</v>
      </c>
      <c r="L26">
        <f>VLOOKUP($J26,Offense2008[],3)</f>
        <v>81.540000000000006</v>
      </c>
      <c r="M26">
        <f>VLOOKUP($J26,Offense2008[],4)</f>
        <v>70.77</v>
      </c>
      <c r="N26">
        <f>VLOOKUP($J26,Offense2008[],5)</f>
        <v>10.77</v>
      </c>
      <c r="O26" s="1">
        <f>VLOOKUP($J26,Offense2008[],6)</f>
        <v>2.1049652777777775E-2</v>
      </c>
      <c r="P26">
        <f>VLOOKUP($J26,Offense2008[],7)</f>
        <v>28</v>
      </c>
      <c r="Q26">
        <v>2008</v>
      </c>
    </row>
    <row r="27" spans="1:17" x14ac:dyDescent="0.2">
      <c r="A27" s="10" t="s">
        <v>81</v>
      </c>
      <c r="B27" s="11">
        <v>25.8</v>
      </c>
      <c r="C27" s="10">
        <v>88.68</v>
      </c>
      <c r="D27" s="10">
        <v>73.58</v>
      </c>
      <c r="E27" s="11">
        <v>15.09</v>
      </c>
      <c r="F27" s="13">
        <v>2.2779745370370367E-2</v>
      </c>
      <c r="G27" s="10">
        <v>18</v>
      </c>
    </row>
    <row r="28" spans="1:17" x14ac:dyDescent="0.2">
      <c r="A28" s="7" t="s">
        <v>108</v>
      </c>
      <c r="B28" s="8">
        <v>43.6</v>
      </c>
      <c r="C28" s="7">
        <v>91.18</v>
      </c>
      <c r="D28" s="7">
        <v>75</v>
      </c>
      <c r="E28" s="8">
        <v>16.18</v>
      </c>
      <c r="F28" s="12">
        <v>2.090613425925926E-2</v>
      </c>
      <c r="G28" s="7">
        <v>13</v>
      </c>
    </row>
    <row r="29" spans="1:17" x14ac:dyDescent="0.2">
      <c r="A29" s="10" t="s">
        <v>9</v>
      </c>
      <c r="B29" s="11">
        <v>25.1</v>
      </c>
      <c r="C29" s="10">
        <v>77.36</v>
      </c>
      <c r="D29" s="10">
        <v>56.6</v>
      </c>
      <c r="E29" s="11">
        <v>20.75</v>
      </c>
      <c r="F29" s="13">
        <v>1.9210300925925926E-2</v>
      </c>
      <c r="G29" s="10">
        <v>29</v>
      </c>
    </row>
    <row r="30" spans="1:17" x14ac:dyDescent="0.2">
      <c r="A30" s="7" t="s">
        <v>95</v>
      </c>
      <c r="B30" s="8">
        <v>24.7</v>
      </c>
      <c r="C30" s="7">
        <v>76.47</v>
      </c>
      <c r="D30" s="7">
        <v>52.94</v>
      </c>
      <c r="E30" s="8">
        <v>23.53</v>
      </c>
      <c r="F30" s="12">
        <v>1.9140624999999998E-2</v>
      </c>
      <c r="G30" s="7">
        <v>19</v>
      </c>
    </row>
    <row r="31" spans="1:17" x14ac:dyDescent="0.2">
      <c r="A31" s="10" t="s">
        <v>88</v>
      </c>
      <c r="B31" s="11">
        <v>33.4</v>
      </c>
      <c r="C31" s="10">
        <v>90.57</v>
      </c>
      <c r="D31" s="10">
        <v>60.38</v>
      </c>
      <c r="E31" s="11">
        <v>30.19</v>
      </c>
      <c r="F31" s="13">
        <v>2.1940856481481485E-2</v>
      </c>
      <c r="G31" s="10">
        <v>26</v>
      </c>
    </row>
    <row r="32" spans="1:17" x14ac:dyDescent="0.2">
      <c r="A32" s="7" t="s">
        <v>73</v>
      </c>
      <c r="B32" s="8">
        <v>29.6</v>
      </c>
      <c r="C32" s="7">
        <v>86.96</v>
      </c>
      <c r="D32" s="7">
        <v>65.22</v>
      </c>
      <c r="E32" s="8">
        <v>21.74</v>
      </c>
      <c r="F32" s="12">
        <v>2.0758564814814816E-2</v>
      </c>
      <c r="G32" s="7">
        <v>24</v>
      </c>
    </row>
    <row r="33" spans="1:7" x14ac:dyDescent="0.2">
      <c r="A33" s="10" t="s">
        <v>22</v>
      </c>
      <c r="B33" s="11">
        <v>31.5</v>
      </c>
      <c r="C33" s="10">
        <v>83.67</v>
      </c>
      <c r="D33" s="10">
        <v>65.31</v>
      </c>
      <c r="E33" s="11">
        <v>18.37</v>
      </c>
      <c r="F33" s="13">
        <v>2.1493981481481485E-2</v>
      </c>
      <c r="G33" s="10">
        <v>19</v>
      </c>
    </row>
    <row r="34" spans="1:7" x14ac:dyDescent="0.2">
      <c r="A34" s="7" t="s">
        <v>71</v>
      </c>
      <c r="B34" s="8">
        <v>24.4</v>
      </c>
      <c r="C34" s="7">
        <v>76.92</v>
      </c>
      <c r="D34" s="7">
        <v>46.15</v>
      </c>
      <c r="E34" s="8">
        <v>30.77</v>
      </c>
      <c r="F34" s="12">
        <v>2.1188541666666668E-2</v>
      </c>
      <c r="G34" s="7">
        <v>27</v>
      </c>
    </row>
    <row r="35" spans="1:7" x14ac:dyDescent="0.2">
      <c r="A35" s="10" t="s">
        <v>105</v>
      </c>
      <c r="B35" s="11">
        <v>24.6</v>
      </c>
      <c r="C35" s="10">
        <v>74.510000000000005</v>
      </c>
      <c r="D35" s="10">
        <v>58.82</v>
      </c>
      <c r="E35" s="11">
        <v>15.69</v>
      </c>
      <c r="F35" s="13">
        <v>2.1226851851851854E-2</v>
      </c>
      <c r="G35" s="10">
        <v>37</v>
      </c>
    </row>
    <row r="36" spans="1:7" x14ac:dyDescent="0.2">
      <c r="A36" s="7" t="s">
        <v>67</v>
      </c>
      <c r="B36" s="8">
        <v>40.6</v>
      </c>
      <c r="C36" s="7">
        <v>77.03</v>
      </c>
      <c r="D36" s="7">
        <v>60.81</v>
      </c>
      <c r="E36" s="8">
        <v>16.22</v>
      </c>
      <c r="F36" s="12">
        <v>1.8944097222222223E-2</v>
      </c>
      <c r="G36" s="7">
        <v>28</v>
      </c>
    </row>
    <row r="37" spans="1:7" x14ac:dyDescent="0.2">
      <c r="A37" s="10" t="s">
        <v>115</v>
      </c>
      <c r="B37" s="11">
        <v>19.600000000000001</v>
      </c>
      <c r="C37" s="10">
        <v>75.760000000000005</v>
      </c>
      <c r="D37" s="10">
        <v>63.64</v>
      </c>
      <c r="E37" s="11">
        <v>12.12</v>
      </c>
      <c r="F37" s="13">
        <v>2.1038773148148147E-2</v>
      </c>
      <c r="G37" s="10">
        <v>31</v>
      </c>
    </row>
    <row r="38" spans="1:7" x14ac:dyDescent="0.2">
      <c r="A38" s="7" t="s">
        <v>125</v>
      </c>
      <c r="B38" s="8">
        <v>28.7</v>
      </c>
      <c r="C38" s="7">
        <v>82.05</v>
      </c>
      <c r="D38" s="7">
        <v>64.099999999999994</v>
      </c>
      <c r="E38" s="8">
        <v>17.95</v>
      </c>
      <c r="F38" s="12">
        <v>2.071759259259259E-2</v>
      </c>
      <c r="G38" s="7">
        <v>26</v>
      </c>
    </row>
    <row r="39" spans="1:7" x14ac:dyDescent="0.2">
      <c r="A39" s="10" t="s">
        <v>76</v>
      </c>
      <c r="B39" s="11">
        <v>20.5</v>
      </c>
      <c r="C39" s="10">
        <v>66.67</v>
      </c>
      <c r="D39" s="10">
        <v>45.45</v>
      </c>
      <c r="E39" s="11">
        <v>21.21</v>
      </c>
      <c r="F39" s="13">
        <v>1.8633333333333332E-2</v>
      </c>
      <c r="G39" s="10">
        <v>21</v>
      </c>
    </row>
    <row r="40" spans="1:7" x14ac:dyDescent="0.2">
      <c r="A40" s="7" t="s">
        <v>68</v>
      </c>
      <c r="B40" s="8">
        <v>30.3</v>
      </c>
      <c r="C40" s="7">
        <v>84.21</v>
      </c>
      <c r="D40" s="7">
        <v>56.14</v>
      </c>
      <c r="E40" s="8">
        <v>28.07</v>
      </c>
      <c r="F40" s="12">
        <v>2.1884837962962964E-2</v>
      </c>
      <c r="G40" s="7">
        <v>24</v>
      </c>
    </row>
    <row r="41" spans="1:7" x14ac:dyDescent="0.2">
      <c r="A41" s="10" t="s">
        <v>52</v>
      </c>
      <c r="B41" s="11">
        <v>25.3</v>
      </c>
      <c r="C41" s="10">
        <v>71.150000000000006</v>
      </c>
      <c r="D41" s="10">
        <v>50</v>
      </c>
      <c r="E41" s="11">
        <v>21.15</v>
      </c>
      <c r="F41" s="13">
        <v>2.1364814814814812E-2</v>
      </c>
      <c r="G41" s="10">
        <v>22</v>
      </c>
    </row>
    <row r="42" spans="1:7" x14ac:dyDescent="0.2">
      <c r="A42" s="7" t="s">
        <v>118</v>
      </c>
      <c r="B42" s="8">
        <v>33.4</v>
      </c>
      <c r="C42" s="7">
        <v>85.96</v>
      </c>
      <c r="D42" s="7">
        <v>68.42</v>
      </c>
      <c r="E42" s="8">
        <v>17.54</v>
      </c>
      <c r="F42" s="12">
        <v>2.1122685185185185E-2</v>
      </c>
      <c r="G42" s="7">
        <v>22</v>
      </c>
    </row>
    <row r="43" spans="1:7" x14ac:dyDescent="0.2">
      <c r="A43" s="10" t="s">
        <v>36</v>
      </c>
      <c r="B43" s="11">
        <v>34.9</v>
      </c>
      <c r="C43" s="10">
        <v>80.849999999999994</v>
      </c>
      <c r="D43" s="10">
        <v>72.34</v>
      </c>
      <c r="E43" s="11">
        <v>8.51</v>
      </c>
      <c r="F43" s="13">
        <v>1.9210069444444446E-2</v>
      </c>
      <c r="G43" s="10">
        <v>24</v>
      </c>
    </row>
    <row r="44" spans="1:7" x14ac:dyDescent="0.2">
      <c r="A44" s="7" t="s">
        <v>127</v>
      </c>
      <c r="B44" s="8">
        <v>25.7</v>
      </c>
      <c r="C44" s="7">
        <v>75</v>
      </c>
      <c r="D44" s="7">
        <v>64.58</v>
      </c>
      <c r="E44" s="8">
        <v>10.42</v>
      </c>
      <c r="F44" s="12">
        <v>2.0227662037037037E-2</v>
      </c>
      <c r="G44" s="7">
        <v>25</v>
      </c>
    </row>
    <row r="45" spans="1:7" x14ac:dyDescent="0.2">
      <c r="A45" s="10" t="s">
        <v>86</v>
      </c>
      <c r="B45" s="11">
        <v>22.6</v>
      </c>
      <c r="C45" s="10">
        <v>74.42</v>
      </c>
      <c r="D45" s="10">
        <v>51.16</v>
      </c>
      <c r="E45" s="11">
        <v>23.26</v>
      </c>
      <c r="F45" s="13">
        <v>2.045763888888889E-2</v>
      </c>
      <c r="G45" s="10">
        <v>21</v>
      </c>
    </row>
    <row r="46" spans="1:7" x14ac:dyDescent="0.2">
      <c r="A46" s="7" t="s">
        <v>65</v>
      </c>
      <c r="B46" s="8">
        <v>24.6</v>
      </c>
      <c r="C46" s="7">
        <v>76.92</v>
      </c>
      <c r="D46" s="7">
        <v>51.28</v>
      </c>
      <c r="E46" s="8">
        <v>25.64</v>
      </c>
      <c r="F46" s="12">
        <v>1.9974189814814813E-2</v>
      </c>
      <c r="G46" s="7">
        <v>20</v>
      </c>
    </row>
    <row r="47" spans="1:7" x14ac:dyDescent="0.2">
      <c r="A47" s="10" t="s">
        <v>58</v>
      </c>
      <c r="B47" s="11">
        <v>33.1</v>
      </c>
      <c r="C47" s="10">
        <v>76.599999999999994</v>
      </c>
      <c r="D47" s="10">
        <v>63.83</v>
      </c>
      <c r="E47" s="11">
        <v>12.77</v>
      </c>
      <c r="F47" s="13">
        <v>2.1624189814814815E-2</v>
      </c>
      <c r="G47" s="10">
        <v>25</v>
      </c>
    </row>
    <row r="48" spans="1:7" x14ac:dyDescent="0.2">
      <c r="A48" s="7" t="s">
        <v>21</v>
      </c>
      <c r="B48" s="8">
        <v>23.7</v>
      </c>
      <c r="C48" s="7">
        <v>76.319999999999993</v>
      </c>
      <c r="D48" s="7">
        <v>68.42</v>
      </c>
      <c r="E48" s="8">
        <v>7.89</v>
      </c>
      <c r="F48" s="12">
        <v>2.1688888888888886E-2</v>
      </c>
      <c r="G48" s="7">
        <v>14</v>
      </c>
    </row>
    <row r="49" spans="1:7" x14ac:dyDescent="0.2">
      <c r="A49" s="10" t="s">
        <v>12</v>
      </c>
      <c r="B49" s="11">
        <v>24.7</v>
      </c>
      <c r="C49" s="10">
        <v>71.430000000000007</v>
      </c>
      <c r="D49" s="10">
        <v>59.52</v>
      </c>
      <c r="E49" s="11">
        <v>11.9</v>
      </c>
      <c r="F49" s="13">
        <v>2.1938657407407403E-2</v>
      </c>
      <c r="G49" s="10">
        <v>30</v>
      </c>
    </row>
    <row r="50" spans="1:7" x14ac:dyDescent="0.2">
      <c r="A50" s="7" t="s">
        <v>70</v>
      </c>
      <c r="B50" s="8">
        <v>30.9</v>
      </c>
      <c r="C50" s="7">
        <v>89.58</v>
      </c>
      <c r="D50" s="7">
        <v>72.92</v>
      </c>
      <c r="E50" s="8">
        <v>16.670000000000002</v>
      </c>
      <c r="F50" s="12">
        <v>2.0982060185185183E-2</v>
      </c>
      <c r="G50" s="7">
        <v>20</v>
      </c>
    </row>
    <row r="51" spans="1:7" x14ac:dyDescent="0.2">
      <c r="A51" s="10" t="s">
        <v>78</v>
      </c>
      <c r="B51" s="11">
        <v>20.5</v>
      </c>
      <c r="C51" s="10">
        <v>77.14</v>
      </c>
      <c r="D51" s="10">
        <v>51.43</v>
      </c>
      <c r="E51" s="11">
        <v>25.71</v>
      </c>
      <c r="F51" s="13">
        <v>1.9335416666666667E-2</v>
      </c>
      <c r="G51" s="10">
        <v>22</v>
      </c>
    </row>
    <row r="52" spans="1:7" x14ac:dyDescent="0.2">
      <c r="A52" s="7" t="s">
        <v>97</v>
      </c>
      <c r="B52" s="8">
        <v>21.8</v>
      </c>
      <c r="C52" s="7">
        <v>80.489999999999995</v>
      </c>
      <c r="D52" s="7">
        <v>51.22</v>
      </c>
      <c r="E52" s="8">
        <v>29.27</v>
      </c>
      <c r="F52" s="12">
        <v>1.9298379629629627E-2</v>
      </c>
      <c r="G52" s="7">
        <v>25</v>
      </c>
    </row>
    <row r="53" spans="1:7" x14ac:dyDescent="0.2">
      <c r="A53" s="10" t="s">
        <v>1</v>
      </c>
      <c r="B53" s="11">
        <v>27.2</v>
      </c>
      <c r="C53" s="10">
        <v>87.27</v>
      </c>
      <c r="D53" s="10">
        <v>69.09</v>
      </c>
      <c r="E53" s="11">
        <v>18.18</v>
      </c>
      <c r="F53" s="13">
        <v>2.2782175925925924E-2</v>
      </c>
      <c r="G53" s="10">
        <v>17</v>
      </c>
    </row>
    <row r="54" spans="1:7" x14ac:dyDescent="0.2">
      <c r="A54" s="7" t="s">
        <v>39</v>
      </c>
      <c r="B54" s="8">
        <v>27.1</v>
      </c>
      <c r="C54" s="7">
        <v>93.62</v>
      </c>
      <c r="D54" s="7">
        <v>61.7</v>
      </c>
      <c r="E54" s="8">
        <v>31.91</v>
      </c>
      <c r="F54" s="12">
        <v>2.0466550925925926E-2</v>
      </c>
      <c r="G54" s="7">
        <v>25</v>
      </c>
    </row>
    <row r="55" spans="1:7" x14ac:dyDescent="0.2">
      <c r="A55" s="10" t="s">
        <v>93</v>
      </c>
      <c r="B55" s="11">
        <v>18.399999999999999</v>
      </c>
      <c r="C55" s="10">
        <v>75</v>
      </c>
      <c r="D55" s="10">
        <v>37.5</v>
      </c>
      <c r="E55" s="11">
        <v>37.5</v>
      </c>
      <c r="F55" s="13">
        <v>2.1299189814814812E-2</v>
      </c>
      <c r="G55" s="10">
        <v>27</v>
      </c>
    </row>
    <row r="56" spans="1:7" x14ac:dyDescent="0.2">
      <c r="A56" s="7" t="s">
        <v>84</v>
      </c>
      <c r="B56" s="8">
        <v>20.3</v>
      </c>
      <c r="C56" s="7">
        <v>77.14</v>
      </c>
      <c r="D56" s="7">
        <v>60</v>
      </c>
      <c r="E56" s="8">
        <v>17.14</v>
      </c>
      <c r="F56" s="12">
        <v>1.9200462962962964E-2</v>
      </c>
      <c r="G56" s="7">
        <v>30</v>
      </c>
    </row>
    <row r="57" spans="1:7" x14ac:dyDescent="0.2">
      <c r="A57" s="10" t="s">
        <v>104</v>
      </c>
      <c r="B57" s="11">
        <v>25.1</v>
      </c>
      <c r="C57" s="10">
        <v>84.91</v>
      </c>
      <c r="D57" s="10">
        <v>54.72</v>
      </c>
      <c r="E57" s="11">
        <v>30.19</v>
      </c>
      <c r="F57" s="13">
        <v>2.154375E-2</v>
      </c>
      <c r="G57" s="10">
        <v>22</v>
      </c>
    </row>
    <row r="58" spans="1:7" x14ac:dyDescent="0.2">
      <c r="A58" s="7" t="s">
        <v>91</v>
      </c>
      <c r="B58" s="8">
        <v>22.8</v>
      </c>
      <c r="C58" s="7">
        <v>76.319999999999993</v>
      </c>
      <c r="D58" s="7">
        <v>52.63</v>
      </c>
      <c r="E58" s="8">
        <v>23.68</v>
      </c>
      <c r="F58" s="12">
        <v>2.0131134259259258E-2</v>
      </c>
      <c r="G58" s="7">
        <v>20</v>
      </c>
    </row>
    <row r="59" spans="1:7" x14ac:dyDescent="0.2">
      <c r="A59" s="10" t="s">
        <v>107</v>
      </c>
      <c r="B59" s="11">
        <v>23.2</v>
      </c>
      <c r="C59" s="10">
        <v>87.8</v>
      </c>
      <c r="D59" s="10">
        <v>65.849999999999994</v>
      </c>
      <c r="E59" s="11">
        <v>21.95</v>
      </c>
      <c r="F59" s="13">
        <v>2.0836921296296298E-2</v>
      </c>
      <c r="G59" s="10">
        <v>19</v>
      </c>
    </row>
    <row r="60" spans="1:7" x14ac:dyDescent="0.2">
      <c r="A60" s="7" t="s">
        <v>34</v>
      </c>
      <c r="B60" s="8">
        <v>32.1</v>
      </c>
      <c r="C60" s="7">
        <v>80.36</v>
      </c>
      <c r="D60" s="7">
        <v>55.36</v>
      </c>
      <c r="E60" s="8">
        <v>25</v>
      </c>
      <c r="F60" s="12">
        <v>2.0990972222222223E-2</v>
      </c>
      <c r="G60" s="7">
        <v>25</v>
      </c>
    </row>
    <row r="61" spans="1:7" x14ac:dyDescent="0.2">
      <c r="A61" s="10" t="s">
        <v>35</v>
      </c>
      <c r="B61" s="11">
        <v>15.3</v>
      </c>
      <c r="C61" s="10">
        <v>69.7</v>
      </c>
      <c r="D61" s="10">
        <v>57.58</v>
      </c>
      <c r="E61" s="11">
        <v>12.12</v>
      </c>
      <c r="F61" s="13">
        <v>2.1008912037037041E-2</v>
      </c>
      <c r="G61" s="10">
        <v>20</v>
      </c>
    </row>
    <row r="62" spans="1:7" x14ac:dyDescent="0.2">
      <c r="A62" s="7" t="s">
        <v>10</v>
      </c>
      <c r="B62" s="8">
        <v>42.2</v>
      </c>
      <c r="C62" s="7">
        <v>89.39</v>
      </c>
      <c r="D62" s="7">
        <v>71.209999999999994</v>
      </c>
      <c r="E62" s="8">
        <v>18.18</v>
      </c>
      <c r="F62" s="12">
        <v>1.7929861111111108E-2</v>
      </c>
      <c r="G62" s="7">
        <v>26</v>
      </c>
    </row>
    <row r="63" spans="1:7" x14ac:dyDescent="0.2">
      <c r="A63" s="10" t="s">
        <v>49</v>
      </c>
      <c r="B63" s="11">
        <v>27.2</v>
      </c>
      <c r="C63" s="10">
        <v>88.64</v>
      </c>
      <c r="D63" s="10">
        <v>56.82</v>
      </c>
      <c r="E63" s="11">
        <v>31.82</v>
      </c>
      <c r="F63" s="13">
        <v>2.1810879629629631E-2</v>
      </c>
      <c r="G63" s="10">
        <v>15</v>
      </c>
    </row>
    <row r="64" spans="1:7" x14ac:dyDescent="0.2">
      <c r="A64" s="7" t="s">
        <v>83</v>
      </c>
      <c r="B64" s="8">
        <v>35.4</v>
      </c>
      <c r="C64" s="7">
        <v>87.1</v>
      </c>
      <c r="D64" s="7">
        <v>67.739999999999995</v>
      </c>
      <c r="E64" s="8">
        <v>19.350000000000001</v>
      </c>
      <c r="F64" s="12">
        <v>2.3620023148148147E-2</v>
      </c>
      <c r="G64" s="7">
        <v>28</v>
      </c>
    </row>
    <row r="65" spans="1:7" x14ac:dyDescent="0.2">
      <c r="A65" s="10" t="s">
        <v>69</v>
      </c>
      <c r="B65" s="11">
        <v>37.6</v>
      </c>
      <c r="C65" s="10">
        <v>83.33</v>
      </c>
      <c r="D65" s="10">
        <v>63.33</v>
      </c>
      <c r="E65" s="11">
        <v>20</v>
      </c>
      <c r="F65" s="13">
        <v>2.273773148148148E-2</v>
      </c>
      <c r="G65" s="10">
        <v>23</v>
      </c>
    </row>
    <row r="66" spans="1:7" x14ac:dyDescent="0.2">
      <c r="A66" s="7" t="s">
        <v>111</v>
      </c>
      <c r="B66" s="8">
        <v>21.1</v>
      </c>
      <c r="C66" s="7">
        <v>74.42</v>
      </c>
      <c r="D66" s="7">
        <v>44.19</v>
      </c>
      <c r="E66" s="8">
        <v>30.23</v>
      </c>
      <c r="F66" s="12">
        <v>2.1097569444444447E-2</v>
      </c>
      <c r="G66" s="7">
        <v>22</v>
      </c>
    </row>
    <row r="67" spans="1:7" x14ac:dyDescent="0.2">
      <c r="A67" s="10" t="s">
        <v>50</v>
      </c>
      <c r="B67" s="11">
        <v>22.2</v>
      </c>
      <c r="C67" s="10">
        <v>74.19</v>
      </c>
      <c r="D67" s="10">
        <v>54.84</v>
      </c>
      <c r="E67" s="11">
        <v>19.350000000000001</v>
      </c>
      <c r="F67" s="13">
        <v>2.0276851851851855E-2</v>
      </c>
      <c r="G67" s="10">
        <v>29</v>
      </c>
    </row>
    <row r="68" spans="1:7" x14ac:dyDescent="0.2">
      <c r="A68" s="7" t="s">
        <v>82</v>
      </c>
      <c r="B68" s="8">
        <v>27.7</v>
      </c>
      <c r="C68" s="7">
        <v>83.33</v>
      </c>
      <c r="D68" s="7">
        <v>54.76</v>
      </c>
      <c r="E68" s="8">
        <v>28.57</v>
      </c>
      <c r="F68" s="12">
        <v>1.8847916666666666E-2</v>
      </c>
      <c r="G68" s="7">
        <v>23</v>
      </c>
    </row>
    <row r="69" spans="1:7" x14ac:dyDescent="0.2">
      <c r="A69" s="10" t="s">
        <v>46</v>
      </c>
      <c r="B69" s="11">
        <v>23.5</v>
      </c>
      <c r="C69" s="10">
        <v>90.91</v>
      </c>
      <c r="D69" s="10">
        <v>61.36</v>
      </c>
      <c r="E69" s="11">
        <v>29.55</v>
      </c>
      <c r="F69" s="13">
        <v>2.054224537037037E-2</v>
      </c>
      <c r="G69" s="10">
        <v>20</v>
      </c>
    </row>
    <row r="70" spans="1:7" x14ac:dyDescent="0.2">
      <c r="A70" s="7" t="s">
        <v>16</v>
      </c>
      <c r="B70" s="8">
        <v>20</v>
      </c>
      <c r="C70" s="7">
        <v>81.819999999999993</v>
      </c>
      <c r="D70" s="7">
        <v>63.64</v>
      </c>
      <c r="E70" s="8">
        <v>18.18</v>
      </c>
      <c r="F70" s="12">
        <v>2.1304050925925924E-2</v>
      </c>
      <c r="G70" s="7">
        <v>33</v>
      </c>
    </row>
    <row r="71" spans="1:7" x14ac:dyDescent="0.2">
      <c r="A71" s="10" t="s">
        <v>51</v>
      </c>
      <c r="B71" s="11">
        <v>24.2</v>
      </c>
      <c r="C71" s="10">
        <v>78.72</v>
      </c>
      <c r="D71" s="10">
        <v>53.19</v>
      </c>
      <c r="E71" s="11">
        <v>25.53</v>
      </c>
      <c r="F71" s="13">
        <v>2.2204398148148147E-2</v>
      </c>
      <c r="G71" s="10">
        <v>18</v>
      </c>
    </row>
    <row r="72" spans="1:7" x14ac:dyDescent="0.2">
      <c r="A72" s="7" t="s">
        <v>55</v>
      </c>
      <c r="B72" s="8">
        <v>24.4</v>
      </c>
      <c r="C72" s="7">
        <v>85.19</v>
      </c>
      <c r="D72" s="7">
        <v>50</v>
      </c>
      <c r="E72" s="8">
        <v>35.19</v>
      </c>
      <c r="F72" s="12">
        <v>2.0707754629629632E-2</v>
      </c>
      <c r="G72" s="7">
        <v>28</v>
      </c>
    </row>
    <row r="73" spans="1:7" x14ac:dyDescent="0.2">
      <c r="A73" s="10" t="s">
        <v>23</v>
      </c>
      <c r="B73" s="11">
        <v>24.7</v>
      </c>
      <c r="C73" s="10">
        <v>70.45</v>
      </c>
      <c r="D73" s="10">
        <v>52.27</v>
      </c>
      <c r="E73" s="11">
        <v>18.18</v>
      </c>
      <c r="F73" s="13">
        <v>2.1725462962962964E-2</v>
      </c>
      <c r="G73" s="10">
        <v>28</v>
      </c>
    </row>
    <row r="74" spans="1:7" x14ac:dyDescent="0.2">
      <c r="A74" s="7" t="s">
        <v>13</v>
      </c>
      <c r="B74" s="8">
        <v>24.1</v>
      </c>
      <c r="C74" s="7">
        <v>70</v>
      </c>
      <c r="D74" s="7">
        <v>40</v>
      </c>
      <c r="E74" s="8">
        <v>30</v>
      </c>
      <c r="F74" s="12">
        <v>2.0744560185185185E-2</v>
      </c>
      <c r="G74" s="7">
        <v>32</v>
      </c>
    </row>
    <row r="75" spans="1:7" x14ac:dyDescent="0.2">
      <c r="A75" s="10" t="s">
        <v>4</v>
      </c>
      <c r="B75" s="11">
        <v>27.6</v>
      </c>
      <c r="C75" s="10">
        <v>95.12</v>
      </c>
      <c r="D75" s="10">
        <v>60.98</v>
      </c>
      <c r="E75" s="11">
        <v>34.15</v>
      </c>
      <c r="F75" s="13">
        <v>2.2010300925925926E-2</v>
      </c>
      <c r="G75" s="10">
        <v>13</v>
      </c>
    </row>
    <row r="76" spans="1:7" x14ac:dyDescent="0.2">
      <c r="A76" s="7" t="s">
        <v>3</v>
      </c>
      <c r="B76" s="8">
        <v>51.1</v>
      </c>
      <c r="C76" s="7">
        <v>92.86</v>
      </c>
      <c r="D76" s="7">
        <v>84.52</v>
      </c>
      <c r="E76" s="8">
        <v>8.33</v>
      </c>
      <c r="F76" s="12">
        <v>2.0436458333333334E-2</v>
      </c>
      <c r="G76" s="7">
        <v>11</v>
      </c>
    </row>
    <row r="77" spans="1:7" x14ac:dyDescent="0.2">
      <c r="A77" s="10" t="s">
        <v>2</v>
      </c>
      <c r="B77" s="11">
        <v>40.799999999999997</v>
      </c>
      <c r="C77" s="10">
        <v>89.47</v>
      </c>
      <c r="D77" s="10">
        <v>68.42</v>
      </c>
      <c r="E77" s="11">
        <v>21.05</v>
      </c>
      <c r="F77" s="13">
        <v>2.162928240740741E-2</v>
      </c>
      <c r="G77" s="10">
        <v>20</v>
      </c>
    </row>
    <row r="78" spans="1:7" x14ac:dyDescent="0.2">
      <c r="A78" s="7" t="s">
        <v>18</v>
      </c>
      <c r="B78" s="8">
        <v>41.9</v>
      </c>
      <c r="C78" s="7">
        <v>82.35</v>
      </c>
      <c r="D78" s="7">
        <v>61.76</v>
      </c>
      <c r="E78" s="8">
        <v>20.59</v>
      </c>
      <c r="F78" s="12">
        <v>1.7488425925925925E-2</v>
      </c>
      <c r="G78" s="7">
        <v>26</v>
      </c>
    </row>
    <row r="79" spans="1:7" x14ac:dyDescent="0.2">
      <c r="A79" s="10" t="s">
        <v>112</v>
      </c>
      <c r="B79" s="11">
        <v>30.5</v>
      </c>
      <c r="C79" s="10">
        <v>81.97</v>
      </c>
      <c r="D79" s="10">
        <v>60.66</v>
      </c>
      <c r="E79" s="11">
        <v>21.31</v>
      </c>
      <c r="F79" s="13">
        <v>2.2123379629629628E-2</v>
      </c>
      <c r="G79" s="10">
        <v>21</v>
      </c>
    </row>
    <row r="80" spans="1:7" x14ac:dyDescent="0.2">
      <c r="A80" s="7" t="s">
        <v>6</v>
      </c>
      <c r="B80" s="8">
        <v>38.9</v>
      </c>
      <c r="C80" s="7">
        <v>92.42</v>
      </c>
      <c r="D80" s="7">
        <v>66.67</v>
      </c>
      <c r="E80" s="8">
        <v>25.76</v>
      </c>
      <c r="F80" s="12">
        <v>2.203263888888889E-2</v>
      </c>
      <c r="G80" s="7">
        <v>16</v>
      </c>
    </row>
    <row r="81" spans="1:7" x14ac:dyDescent="0.2">
      <c r="A81" s="10" t="s">
        <v>99</v>
      </c>
      <c r="B81" s="11">
        <v>27.1</v>
      </c>
      <c r="C81" s="10">
        <v>91.11</v>
      </c>
      <c r="D81" s="10">
        <v>60</v>
      </c>
      <c r="E81" s="11">
        <v>31.11</v>
      </c>
      <c r="F81" s="13">
        <v>2.1777083333333336E-2</v>
      </c>
      <c r="G81" s="10">
        <v>27</v>
      </c>
    </row>
    <row r="82" spans="1:7" x14ac:dyDescent="0.2">
      <c r="A82" s="7" t="s">
        <v>96</v>
      </c>
      <c r="B82" s="8">
        <v>24.7</v>
      </c>
      <c r="C82" s="7">
        <v>82.93</v>
      </c>
      <c r="D82" s="7">
        <v>60.98</v>
      </c>
      <c r="E82" s="8">
        <v>21.95</v>
      </c>
      <c r="F82" s="12">
        <v>2.0810185185185185E-2</v>
      </c>
      <c r="G82" s="7">
        <v>23</v>
      </c>
    </row>
    <row r="83" spans="1:7" x14ac:dyDescent="0.2">
      <c r="A83" s="10" t="s">
        <v>123</v>
      </c>
      <c r="B83" s="11">
        <v>41.3</v>
      </c>
      <c r="C83" s="10">
        <v>89.47</v>
      </c>
      <c r="D83" s="10">
        <v>80.7</v>
      </c>
      <c r="E83" s="11">
        <v>8.77</v>
      </c>
      <c r="F83" s="13">
        <v>2.1423611111111112E-2</v>
      </c>
      <c r="G83" s="10">
        <v>16</v>
      </c>
    </row>
    <row r="84" spans="1:7" x14ac:dyDescent="0.2">
      <c r="A84" s="7" t="s">
        <v>119</v>
      </c>
      <c r="B84" s="8">
        <v>29</v>
      </c>
      <c r="C84" s="7">
        <v>78.849999999999994</v>
      </c>
      <c r="D84" s="7">
        <v>59.62</v>
      </c>
      <c r="E84" s="8">
        <v>19.23</v>
      </c>
      <c r="F84" s="12">
        <v>2.1306944444444444E-2</v>
      </c>
      <c r="G84" s="7">
        <v>20</v>
      </c>
    </row>
    <row r="85" spans="1:7" x14ac:dyDescent="0.2">
      <c r="A85" s="10" t="s">
        <v>48</v>
      </c>
      <c r="B85" s="11">
        <v>19.3</v>
      </c>
      <c r="C85" s="10">
        <v>76.67</v>
      </c>
      <c r="D85" s="10">
        <v>60</v>
      </c>
      <c r="E85" s="11">
        <v>16.670000000000002</v>
      </c>
      <c r="F85" s="13">
        <v>1.8202199074074076E-2</v>
      </c>
      <c r="G85" s="10">
        <v>25</v>
      </c>
    </row>
    <row r="86" spans="1:7" x14ac:dyDescent="0.2">
      <c r="A86" s="7" t="s">
        <v>124</v>
      </c>
      <c r="B86" s="8">
        <v>18.7</v>
      </c>
      <c r="C86" s="7">
        <v>69.7</v>
      </c>
      <c r="D86" s="7">
        <v>45.45</v>
      </c>
      <c r="E86" s="8">
        <v>24.24</v>
      </c>
      <c r="F86" s="12">
        <v>2.0382870370370371E-2</v>
      </c>
      <c r="G86" s="7">
        <v>19</v>
      </c>
    </row>
    <row r="87" spans="1:7" x14ac:dyDescent="0.2">
      <c r="A87" s="10" t="s">
        <v>7</v>
      </c>
      <c r="B87" s="11">
        <v>21.3</v>
      </c>
      <c r="C87" s="10">
        <v>76.67</v>
      </c>
      <c r="D87" s="10">
        <v>56.67</v>
      </c>
      <c r="E87" s="11">
        <v>20</v>
      </c>
      <c r="F87" s="13">
        <v>1.8368055555555554E-2</v>
      </c>
      <c r="G87" s="10">
        <v>32</v>
      </c>
    </row>
    <row r="88" spans="1:7" x14ac:dyDescent="0.2">
      <c r="A88" s="7" t="s">
        <v>98</v>
      </c>
      <c r="B88" s="8">
        <v>20.8</v>
      </c>
      <c r="C88" s="7">
        <v>85</v>
      </c>
      <c r="D88" s="7">
        <v>57.5</v>
      </c>
      <c r="E88" s="8">
        <v>27.5</v>
      </c>
      <c r="F88" s="12">
        <v>2.0624074074074076E-2</v>
      </c>
      <c r="G88" s="7">
        <v>38</v>
      </c>
    </row>
    <row r="89" spans="1:7" x14ac:dyDescent="0.2">
      <c r="A89" s="10" t="s">
        <v>15</v>
      </c>
      <c r="B89" s="11">
        <v>27.6</v>
      </c>
      <c r="C89" s="10">
        <v>76.27</v>
      </c>
      <c r="D89" s="10">
        <v>54.24</v>
      </c>
      <c r="E89" s="11">
        <v>22.03</v>
      </c>
      <c r="F89" s="13">
        <v>2.1322106481481484E-2</v>
      </c>
      <c r="G89" s="10">
        <v>25</v>
      </c>
    </row>
    <row r="90" spans="1:7" x14ac:dyDescent="0.2">
      <c r="A90" s="7" t="s">
        <v>47</v>
      </c>
      <c r="B90" s="8">
        <v>30.6</v>
      </c>
      <c r="C90" s="7">
        <v>85.71</v>
      </c>
      <c r="D90" s="7">
        <v>69.64</v>
      </c>
      <c r="E90" s="8">
        <v>16.07</v>
      </c>
      <c r="F90" s="12">
        <v>2.1307870370370369E-2</v>
      </c>
      <c r="G90" s="7">
        <v>16</v>
      </c>
    </row>
    <row r="91" spans="1:7" x14ac:dyDescent="0.2">
      <c r="A91" s="10" t="s">
        <v>37</v>
      </c>
      <c r="B91" s="11">
        <v>26.3</v>
      </c>
      <c r="C91" s="10">
        <v>90.7</v>
      </c>
      <c r="D91" s="10">
        <v>72.09</v>
      </c>
      <c r="E91" s="11">
        <v>18.600000000000001</v>
      </c>
      <c r="F91" s="13">
        <v>2.0936574074074076E-2</v>
      </c>
      <c r="G91" s="10">
        <v>25</v>
      </c>
    </row>
    <row r="92" spans="1:7" x14ac:dyDescent="0.2">
      <c r="A92" s="7" t="s">
        <v>75</v>
      </c>
      <c r="B92" s="8">
        <v>18.100000000000001</v>
      </c>
      <c r="C92" s="7">
        <v>91.3</v>
      </c>
      <c r="D92" s="7">
        <v>60.87</v>
      </c>
      <c r="E92" s="8">
        <v>30.43</v>
      </c>
      <c r="F92" s="12">
        <v>1.8921643518518518E-2</v>
      </c>
      <c r="G92" s="7">
        <v>17</v>
      </c>
    </row>
    <row r="93" spans="1:7" x14ac:dyDescent="0.2">
      <c r="A93" s="10" t="s">
        <v>27</v>
      </c>
      <c r="B93" s="11">
        <v>33.6</v>
      </c>
      <c r="C93" s="10">
        <v>89.23</v>
      </c>
      <c r="D93" s="10">
        <v>70.77</v>
      </c>
      <c r="E93" s="11">
        <v>18.46</v>
      </c>
      <c r="F93" s="13">
        <v>2.4254861111111109E-2</v>
      </c>
      <c r="G93" s="10">
        <v>15</v>
      </c>
    </row>
    <row r="94" spans="1:7" x14ac:dyDescent="0.2">
      <c r="A94" s="7" t="s">
        <v>90</v>
      </c>
      <c r="B94" s="8">
        <v>23.4</v>
      </c>
      <c r="C94" s="7">
        <v>76.319999999999993</v>
      </c>
      <c r="D94" s="7">
        <v>63.16</v>
      </c>
      <c r="E94" s="8">
        <v>13.16</v>
      </c>
      <c r="F94" s="12">
        <v>1.9039351851851852E-2</v>
      </c>
      <c r="G94" s="7">
        <v>25</v>
      </c>
    </row>
    <row r="95" spans="1:7" x14ac:dyDescent="0.2">
      <c r="A95" s="10" t="s">
        <v>117</v>
      </c>
      <c r="B95" s="11">
        <v>17.3</v>
      </c>
      <c r="C95" s="10">
        <v>72.97</v>
      </c>
      <c r="D95" s="10">
        <v>51.35</v>
      </c>
      <c r="E95" s="11">
        <v>21.62</v>
      </c>
      <c r="F95" s="13">
        <v>1.9824421296296295E-2</v>
      </c>
      <c r="G95" s="10">
        <v>18</v>
      </c>
    </row>
    <row r="96" spans="1:7" x14ac:dyDescent="0.2">
      <c r="A96" s="7" t="s">
        <v>61</v>
      </c>
      <c r="B96" s="8">
        <v>42.4</v>
      </c>
      <c r="C96" s="7">
        <v>89.71</v>
      </c>
      <c r="D96" s="7">
        <v>76.47</v>
      </c>
      <c r="E96" s="8">
        <v>13.24</v>
      </c>
      <c r="F96" s="12">
        <v>2.2568518518518516E-2</v>
      </c>
      <c r="G96" s="7">
        <v>14</v>
      </c>
    </row>
    <row r="97" spans="1:7" x14ac:dyDescent="0.2">
      <c r="A97" s="10" t="s">
        <v>43</v>
      </c>
      <c r="B97" s="11">
        <v>25</v>
      </c>
      <c r="C97" s="10">
        <v>81.08</v>
      </c>
      <c r="D97" s="10">
        <v>70.27</v>
      </c>
      <c r="E97" s="11">
        <v>10.81</v>
      </c>
      <c r="F97" s="13">
        <v>1.9403009259259262E-2</v>
      </c>
      <c r="G97" s="10">
        <v>27</v>
      </c>
    </row>
    <row r="98" spans="1:7" x14ac:dyDescent="0.2">
      <c r="A98" s="7" t="s">
        <v>28</v>
      </c>
      <c r="B98" s="8">
        <v>43.8</v>
      </c>
      <c r="C98" s="7">
        <v>86.67</v>
      </c>
      <c r="D98" s="7">
        <v>77.33</v>
      </c>
      <c r="E98" s="8">
        <v>9.33</v>
      </c>
      <c r="F98" s="12">
        <v>2.1025694444444448E-2</v>
      </c>
      <c r="G98" s="7">
        <v>21</v>
      </c>
    </row>
    <row r="99" spans="1:7" x14ac:dyDescent="0.2">
      <c r="A99" s="10" t="s">
        <v>14</v>
      </c>
      <c r="B99" s="11">
        <v>22.4</v>
      </c>
      <c r="C99" s="10">
        <v>86.49</v>
      </c>
      <c r="D99" s="10">
        <v>59.46</v>
      </c>
      <c r="E99" s="11">
        <v>27.03</v>
      </c>
      <c r="F99" s="13">
        <v>1.9592939814814813E-2</v>
      </c>
      <c r="G99" s="10">
        <v>20</v>
      </c>
    </row>
    <row r="100" spans="1:7" x14ac:dyDescent="0.2">
      <c r="A100" s="7" t="s">
        <v>53</v>
      </c>
      <c r="B100" s="8">
        <v>32.799999999999997</v>
      </c>
      <c r="C100" s="7">
        <v>85.48</v>
      </c>
      <c r="D100" s="7">
        <v>61.29</v>
      </c>
      <c r="E100" s="8">
        <v>24.19</v>
      </c>
      <c r="F100" s="12">
        <v>2.0137152777777775E-2</v>
      </c>
      <c r="G100" s="7">
        <v>23</v>
      </c>
    </row>
    <row r="101" spans="1:7" x14ac:dyDescent="0.2">
      <c r="A101" s="10" t="s">
        <v>74</v>
      </c>
      <c r="B101" s="11">
        <v>16.7</v>
      </c>
      <c r="C101" s="10">
        <v>64.52</v>
      </c>
      <c r="D101" s="10">
        <v>45.16</v>
      </c>
      <c r="E101" s="11">
        <v>19.350000000000001</v>
      </c>
      <c r="F101" s="13">
        <v>2.1722569444444447E-2</v>
      </c>
      <c r="G101" s="10">
        <v>22</v>
      </c>
    </row>
    <row r="102" spans="1:7" x14ac:dyDescent="0.2">
      <c r="A102" s="7" t="s">
        <v>59</v>
      </c>
      <c r="B102" s="8">
        <v>47.2</v>
      </c>
      <c r="C102" s="7">
        <v>87.5</v>
      </c>
      <c r="D102" s="7">
        <v>73.75</v>
      </c>
      <c r="E102" s="8">
        <v>13.75</v>
      </c>
      <c r="F102" s="12">
        <v>2.0481944444444445E-2</v>
      </c>
      <c r="G102" s="7">
        <v>30</v>
      </c>
    </row>
    <row r="103" spans="1:7" x14ac:dyDescent="0.2">
      <c r="A103" s="10" t="s">
        <v>56</v>
      </c>
      <c r="B103" s="11">
        <v>22.8</v>
      </c>
      <c r="C103" s="10">
        <v>84.62</v>
      </c>
      <c r="D103" s="10">
        <v>56.41</v>
      </c>
      <c r="E103" s="11">
        <v>28.21</v>
      </c>
      <c r="F103" s="13">
        <v>2.1718749999999998E-2</v>
      </c>
      <c r="G103" s="10">
        <v>25</v>
      </c>
    </row>
    <row r="104" spans="1:7" x14ac:dyDescent="0.2">
      <c r="A104" s="7" t="s">
        <v>0</v>
      </c>
      <c r="B104" s="8">
        <v>16.600000000000001</v>
      </c>
      <c r="C104" s="7">
        <v>74.069999999999993</v>
      </c>
      <c r="D104" s="7">
        <v>55.56</v>
      </c>
      <c r="E104" s="8">
        <v>18.52</v>
      </c>
      <c r="F104" s="12">
        <v>1.9300694444444443E-2</v>
      </c>
      <c r="G104" s="7">
        <v>25</v>
      </c>
    </row>
    <row r="105" spans="1:7" x14ac:dyDescent="0.2">
      <c r="A105" s="10" t="s">
        <v>31</v>
      </c>
      <c r="B105" s="11">
        <v>17.7</v>
      </c>
      <c r="C105" s="10">
        <v>82.93</v>
      </c>
      <c r="D105" s="10">
        <v>46.34</v>
      </c>
      <c r="E105" s="11">
        <v>36.590000000000003</v>
      </c>
      <c r="F105" s="13">
        <v>2.079664351851852E-2</v>
      </c>
      <c r="G105" s="10">
        <v>29</v>
      </c>
    </row>
    <row r="106" spans="1:7" x14ac:dyDescent="0.2">
      <c r="A106" s="7" t="s">
        <v>62</v>
      </c>
      <c r="B106" s="8">
        <v>25.6</v>
      </c>
      <c r="C106" s="7">
        <v>94.59</v>
      </c>
      <c r="D106" s="7">
        <v>78.38</v>
      </c>
      <c r="E106" s="8">
        <v>16.22</v>
      </c>
      <c r="F106" s="12">
        <v>2.1317476851851855E-2</v>
      </c>
      <c r="G106" s="7">
        <v>13</v>
      </c>
    </row>
    <row r="107" spans="1:7" x14ac:dyDescent="0.2">
      <c r="A107" s="10" t="s">
        <v>26</v>
      </c>
      <c r="B107" s="11">
        <v>37.5</v>
      </c>
      <c r="C107" s="10">
        <v>84.13</v>
      </c>
      <c r="D107" s="10">
        <v>71.430000000000007</v>
      </c>
      <c r="E107" s="11">
        <v>12.7</v>
      </c>
      <c r="F107" s="13">
        <v>2.1695138888888885E-2</v>
      </c>
      <c r="G107" s="10">
        <v>22</v>
      </c>
    </row>
    <row r="108" spans="1:7" x14ac:dyDescent="0.2">
      <c r="A108" s="7" t="s">
        <v>57</v>
      </c>
      <c r="B108" s="8">
        <v>36.9</v>
      </c>
      <c r="C108" s="7">
        <v>91.07</v>
      </c>
      <c r="D108" s="7">
        <v>71.430000000000007</v>
      </c>
      <c r="E108" s="8">
        <v>19.64</v>
      </c>
      <c r="F108" s="12">
        <v>2.2466203703703707E-2</v>
      </c>
      <c r="G108" s="7">
        <v>18</v>
      </c>
    </row>
    <row r="109" spans="1:7" x14ac:dyDescent="0.2">
      <c r="A109" s="10" t="s">
        <v>44</v>
      </c>
      <c r="B109" s="11">
        <v>24</v>
      </c>
      <c r="C109" s="10">
        <v>94.12</v>
      </c>
      <c r="D109" s="10">
        <v>64.709999999999994</v>
      </c>
      <c r="E109" s="11">
        <v>29.41</v>
      </c>
      <c r="F109" s="13">
        <v>1.9958564814814814E-2</v>
      </c>
      <c r="G109" s="10">
        <v>25</v>
      </c>
    </row>
    <row r="110" spans="1:7" x14ac:dyDescent="0.2">
      <c r="A110" s="7" t="s">
        <v>128</v>
      </c>
      <c r="B110" s="8">
        <v>32.9</v>
      </c>
      <c r="C110" s="7">
        <v>79.17</v>
      </c>
      <c r="D110" s="7">
        <v>54.17</v>
      </c>
      <c r="E110" s="8">
        <v>25</v>
      </c>
      <c r="F110" s="12">
        <v>2.246909722222222E-2</v>
      </c>
      <c r="G110" s="7">
        <v>15</v>
      </c>
    </row>
    <row r="111" spans="1:7" x14ac:dyDescent="0.2">
      <c r="A111" s="10" t="s">
        <v>92</v>
      </c>
      <c r="B111" s="11">
        <v>19.2</v>
      </c>
      <c r="C111" s="10">
        <v>88.57</v>
      </c>
      <c r="D111" s="10">
        <v>65.709999999999994</v>
      </c>
      <c r="E111" s="11">
        <v>22.86</v>
      </c>
      <c r="F111" s="13">
        <v>2.072025462962963E-2</v>
      </c>
      <c r="G111" s="10">
        <v>21</v>
      </c>
    </row>
    <row r="112" spans="1:7" x14ac:dyDescent="0.2">
      <c r="A112" s="7" t="s">
        <v>100</v>
      </c>
      <c r="B112" s="8">
        <v>16.100000000000001</v>
      </c>
      <c r="C112" s="7">
        <v>80.650000000000006</v>
      </c>
      <c r="D112" s="7">
        <v>51.61</v>
      </c>
      <c r="E112" s="8">
        <v>29.03</v>
      </c>
      <c r="F112" s="12">
        <v>1.9336458333333334E-2</v>
      </c>
      <c r="G112" s="7">
        <v>30</v>
      </c>
    </row>
    <row r="113" spans="1:7" x14ac:dyDescent="0.2">
      <c r="A113" s="10" t="s">
        <v>64</v>
      </c>
      <c r="B113" s="11">
        <v>22.1</v>
      </c>
      <c r="C113" s="10">
        <v>74.14</v>
      </c>
      <c r="D113" s="10">
        <v>46.55</v>
      </c>
      <c r="E113" s="11">
        <v>27.59</v>
      </c>
      <c r="F113" s="13">
        <v>2.2919097222222226E-2</v>
      </c>
      <c r="G113" s="10">
        <v>20</v>
      </c>
    </row>
    <row r="114" spans="1:7" x14ac:dyDescent="0.2">
      <c r="A114" s="7" t="s">
        <v>32</v>
      </c>
      <c r="B114" s="8">
        <v>21</v>
      </c>
      <c r="C114" s="7">
        <v>77.78</v>
      </c>
      <c r="D114" s="7">
        <v>51.11</v>
      </c>
      <c r="E114" s="8">
        <v>26.67</v>
      </c>
      <c r="F114" s="12">
        <v>2.1052314814814815E-2</v>
      </c>
      <c r="G114" s="7">
        <v>20</v>
      </c>
    </row>
    <row r="115" spans="1:7" x14ac:dyDescent="0.2">
      <c r="A115" s="10" t="s">
        <v>17</v>
      </c>
      <c r="B115" s="11">
        <v>13.3</v>
      </c>
      <c r="C115" s="10">
        <v>70.97</v>
      </c>
      <c r="D115" s="10">
        <v>51.61</v>
      </c>
      <c r="E115" s="11">
        <v>19.350000000000001</v>
      </c>
      <c r="F115" s="13">
        <v>2.0254629629629629E-2</v>
      </c>
      <c r="G115" s="10">
        <v>27</v>
      </c>
    </row>
    <row r="116" spans="1:7" x14ac:dyDescent="0.2">
      <c r="A116" s="7" t="s">
        <v>41</v>
      </c>
      <c r="B116" s="8">
        <v>12.7</v>
      </c>
      <c r="C116" s="7">
        <v>77.42</v>
      </c>
      <c r="D116" s="7">
        <v>51.61</v>
      </c>
      <c r="E116" s="8">
        <v>25.81</v>
      </c>
      <c r="F116" s="12">
        <v>2.0347222222222221E-2</v>
      </c>
      <c r="G116" s="7">
        <v>38</v>
      </c>
    </row>
    <row r="117" spans="1:7" x14ac:dyDescent="0.2">
      <c r="A117" s="10" t="s">
        <v>20</v>
      </c>
      <c r="B117" s="11">
        <v>24.5</v>
      </c>
      <c r="C117" s="10">
        <v>69.77</v>
      </c>
      <c r="D117" s="10">
        <v>46.51</v>
      </c>
      <c r="E117" s="11">
        <v>23.26</v>
      </c>
      <c r="F117" s="13">
        <v>2.0159375E-2</v>
      </c>
      <c r="G117" s="10">
        <v>16</v>
      </c>
    </row>
    <row r="118" spans="1:7" x14ac:dyDescent="0.2">
      <c r="A118" s="7" t="s">
        <v>80</v>
      </c>
      <c r="B118" s="8">
        <v>17.5</v>
      </c>
      <c r="C118" s="7">
        <v>85.19</v>
      </c>
      <c r="D118" s="7">
        <v>51.85</v>
      </c>
      <c r="E118" s="8">
        <v>33.33</v>
      </c>
      <c r="F118" s="12">
        <v>1.9922800925925927E-2</v>
      </c>
      <c r="G118" s="7">
        <v>19</v>
      </c>
    </row>
    <row r="119" spans="1:7" x14ac:dyDescent="0.2">
      <c r="A119" s="10" t="s">
        <v>29</v>
      </c>
      <c r="B119" s="11">
        <v>28.6</v>
      </c>
      <c r="C119" s="10">
        <v>80</v>
      </c>
      <c r="D119" s="10">
        <v>63.64</v>
      </c>
      <c r="E119" s="11">
        <v>16.36</v>
      </c>
      <c r="F119" s="13">
        <v>1.959664351851852E-2</v>
      </c>
      <c r="G119" s="10">
        <v>23</v>
      </c>
    </row>
    <row r="120" spans="1:7" x14ac:dyDescent="0.2">
      <c r="A120" s="7" t="s">
        <v>25</v>
      </c>
      <c r="B120" s="8">
        <v>27.5</v>
      </c>
      <c r="C120" s="7">
        <v>85.19</v>
      </c>
      <c r="D120" s="7">
        <v>64.81</v>
      </c>
      <c r="E120" s="8">
        <v>20.37</v>
      </c>
      <c r="F120" s="12">
        <v>2.1275810185185182E-2</v>
      </c>
      <c r="G120" s="7">
        <v>31</v>
      </c>
    </row>
    <row r="121" spans="1:7" x14ac:dyDescent="0.2">
      <c r="A121" s="10" t="s">
        <v>106</v>
      </c>
      <c r="B121" s="11">
        <v>12.7</v>
      </c>
      <c r="C121" s="10">
        <v>75</v>
      </c>
      <c r="D121" s="10">
        <v>54.17</v>
      </c>
      <c r="E121" s="11">
        <v>20.83</v>
      </c>
      <c r="F121" s="13">
        <v>2.0165856481481479E-2</v>
      </c>
      <c r="G121" s="10">
        <v>36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Defense Reduced Data</vt:lpstr>
      <vt:lpstr>Defense Regression</vt:lpstr>
      <vt:lpstr>ST Reduced Data</vt:lpstr>
      <vt:lpstr>ST Regression</vt:lpstr>
      <vt:lpstr>ST 2016</vt:lpstr>
      <vt:lpstr>ST 2015</vt:lpstr>
      <vt:lpstr>ST 2014</vt:lpstr>
      <vt:lpstr>ST 2013</vt:lpstr>
      <vt:lpstr>ST 2012</vt:lpstr>
      <vt:lpstr>ST 2011</vt:lpstr>
      <vt:lpstr>ST 2010</vt:lpstr>
      <vt:lpstr>ST 2009</vt:lpstr>
      <vt:lpstr>ST 2008</vt:lpstr>
      <vt:lpstr>Offense Reduced Data</vt:lpstr>
      <vt:lpstr>Offensive Regression</vt:lpstr>
      <vt:lpstr>Complete Reduced Data</vt:lpstr>
      <vt:lpstr>Complete Reduced Data Regressio</vt:lpstr>
      <vt:lpstr>Offense 2016</vt:lpstr>
      <vt:lpstr>Offense 2015</vt:lpstr>
      <vt:lpstr>Offense 2014</vt:lpstr>
      <vt:lpstr>Offense 2013</vt:lpstr>
      <vt:lpstr>Offense 2012</vt:lpstr>
      <vt:lpstr>Offense 2011</vt:lpstr>
      <vt:lpstr>Offense 2010</vt:lpstr>
      <vt:lpstr>Offense 2009</vt:lpstr>
      <vt:lpstr>Offense 2008</vt:lpstr>
    </vt:vector>
  </TitlesOfParts>
  <Company>University of Notre Dame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Puntillo</dc:creator>
  <cp:lastModifiedBy>Charles Puntillo</cp:lastModifiedBy>
  <dcterms:created xsi:type="dcterms:W3CDTF">2017-12-02T19:07:22Z</dcterms:created>
  <dcterms:modified xsi:type="dcterms:W3CDTF">2018-12-17T22:14:35Z</dcterms:modified>
</cp:coreProperties>
</file>