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0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lie/Library/Containers/com.microsoft.Excel/Data/Desktop/Mathletics/"/>
    </mc:Choice>
  </mc:AlternateContent>
  <xr:revisionPtr revIDLastSave="0" documentId="13_ncr:1_{C7959F91-AD99-264F-A4FB-28211143293D}" xr6:coauthVersionLast="32" xr6:coauthVersionMax="32" xr10:uidLastSave="{00000000-0000-0000-0000-000000000000}"/>
  <bookViews>
    <workbookView xWindow="-140" yWindow="460" windowWidth="25600" windowHeight="14560" activeTab="4" xr2:uid="{350BAAD2-4A65-4CA7-9ADF-1EA7834E3AC1}"/>
  </bookViews>
  <sheets>
    <sheet name="2017 Fieldgoal Data" sheetId="1" r:id="rId1"/>
    <sheet name="Logistic Regression" sheetId="5" r:id="rId2"/>
    <sheet name="Probability By Yardage" sheetId="4" r:id="rId3"/>
    <sheet name="Rush Pass Yards Gained" sheetId="7" r:id="rId4"/>
    <sheet name="Optimal First Down" sheetId="9" r:id="rId5"/>
  </sheets>
  <externalReferences>
    <externalReference r:id="rId6"/>
  </externalReferences>
  <definedNames>
    <definedName name="solver_adj" localSheetId="1" hidden="1">'Logistic Regression'!$J$3:$J$4</definedName>
    <definedName name="solver_cvg" localSheetId="1" hidden="1">0.0001</definedName>
    <definedName name="solver_drv" localSheetId="1" hidden="1">1</definedName>
    <definedName name="solver_eng" localSheetId="0" hidden="1">1</definedName>
    <definedName name="solver_eng" localSheetId="1" hidden="1">1</definedName>
    <definedName name="solver_itr" localSheetId="1" hidden="1">2147483647</definedName>
    <definedName name="solver_lhs1" localSheetId="1" hidden="1">'Logistic Regression'!$J$4</definedName>
    <definedName name="solver_lin" localSheetId="0" hidden="1">2</definedName>
    <definedName name="solver_lin" localSheetId="1" hidden="1">2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0" hidden="1">1</definedName>
    <definedName name="solver_neg" localSheetId="1" hidden="1">2</definedName>
    <definedName name="solver_nod" localSheetId="1" hidden="1">2147483647</definedName>
    <definedName name="solver_num" localSheetId="0" hidden="1">0</definedName>
    <definedName name="solver_num" localSheetId="1" hidden="1">0</definedName>
    <definedName name="solver_opt" localSheetId="0" hidden="1">'2017 Fieldgoal Data'!$B$3</definedName>
    <definedName name="solver_opt" localSheetId="1" hidden="1">'Logistic Regression'!$I$11</definedName>
    <definedName name="solver_pre" localSheetId="1" hidden="1">0.000001</definedName>
    <definedName name="solver_rbv" localSheetId="1" hidden="1">1</definedName>
    <definedName name="solver_rel1" localSheetId="1" hidden="1">1</definedName>
    <definedName name="solver_rhs1" localSheetId="1" hidden="1">0.01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0" hidden="1">1</definedName>
    <definedName name="solver_typ" localSheetId="1" hidden="1">1</definedName>
    <definedName name="solver_val" localSheetId="0" hidden="1">0</definedName>
    <definedName name="solver_val" localSheetId="1" hidden="1">0</definedName>
    <definedName name="solver_ver" localSheetId="0" hidden="1">2</definedName>
    <definedName name="solver_ver" localSheetId="1" hidden="1">2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9" l="1"/>
  <c r="D2" i="9"/>
  <c r="M13" i="4" l="1"/>
  <c r="O13" i="4" s="1"/>
  <c r="O11" i="4"/>
  <c r="G3" i="4"/>
  <c r="G2" i="4"/>
  <c r="B43" i="4" l="1"/>
  <c r="C43" i="4" s="1"/>
  <c r="D43" i="4" s="1"/>
  <c r="B11" i="4"/>
  <c r="C11" i="4" s="1"/>
  <c r="D11" i="4" s="1"/>
  <c r="B14" i="4"/>
  <c r="C14" i="4" s="1"/>
  <c r="D14" i="4" s="1"/>
  <c r="B23" i="4"/>
  <c r="C23" i="4" s="1"/>
  <c r="D23" i="4" s="1"/>
  <c r="B31" i="4"/>
  <c r="C31" i="4" s="1"/>
  <c r="D31" i="4" s="1"/>
  <c r="B39" i="4"/>
  <c r="C39" i="4" s="1"/>
  <c r="D39" i="4" s="1"/>
  <c r="B6" i="4"/>
  <c r="C6" i="4" s="1"/>
  <c r="D6" i="4" s="1"/>
  <c r="B18" i="4"/>
  <c r="C18" i="4" s="1"/>
  <c r="D18" i="4" s="1"/>
  <c r="B26" i="4"/>
  <c r="C26" i="4" s="1"/>
  <c r="D26" i="4" s="1"/>
  <c r="B34" i="4"/>
  <c r="C34" i="4" s="1"/>
  <c r="D34" i="4" s="1"/>
  <c r="B42" i="4"/>
  <c r="C42" i="4" s="1"/>
  <c r="D42" i="4" s="1"/>
  <c r="B7" i="4"/>
  <c r="C7" i="4" s="1"/>
  <c r="D7" i="4" s="1"/>
  <c r="B12" i="4"/>
  <c r="C12" i="4" s="1"/>
  <c r="D12" i="4" s="1"/>
  <c r="B19" i="4"/>
  <c r="C19" i="4" s="1"/>
  <c r="D19" i="4" s="1"/>
  <c r="B27" i="4"/>
  <c r="C27" i="4" s="1"/>
  <c r="D27" i="4" s="1"/>
  <c r="B35" i="4"/>
  <c r="C35" i="4" s="1"/>
  <c r="D35" i="4" s="1"/>
  <c r="B44" i="4"/>
  <c r="C44" i="4" s="1"/>
  <c r="D44" i="4" s="1"/>
  <c r="B10" i="4"/>
  <c r="C10" i="4" s="1"/>
  <c r="D10" i="4" s="1"/>
  <c r="N16" i="4"/>
  <c r="B22" i="4"/>
  <c r="C22" i="4" s="1"/>
  <c r="D22" i="4" s="1"/>
  <c r="B30" i="4"/>
  <c r="C30" i="4" s="1"/>
  <c r="D30" i="4" s="1"/>
  <c r="B38" i="4"/>
  <c r="C38" i="4" s="1"/>
  <c r="D38" i="4" s="1"/>
  <c r="B46" i="4"/>
  <c r="C46" i="4" s="1"/>
  <c r="D46" i="4" s="1"/>
  <c r="B5" i="4"/>
  <c r="C5" i="4" s="1"/>
  <c r="D5" i="4" s="1"/>
  <c r="B9" i="4"/>
  <c r="C9" i="4" s="1"/>
  <c r="D9" i="4" s="1"/>
  <c r="B16" i="4"/>
  <c r="C16" i="4" s="1"/>
  <c r="D16" i="4" s="1"/>
  <c r="B17" i="4"/>
  <c r="C17" i="4" s="1"/>
  <c r="D17" i="4" s="1"/>
  <c r="B21" i="4"/>
  <c r="C21" i="4" s="1"/>
  <c r="D21" i="4" s="1"/>
  <c r="B25" i="4"/>
  <c r="C25" i="4" s="1"/>
  <c r="D25" i="4" s="1"/>
  <c r="B29" i="4"/>
  <c r="C29" i="4" s="1"/>
  <c r="D29" i="4" s="1"/>
  <c r="B33" i="4"/>
  <c r="C33" i="4" s="1"/>
  <c r="D33" i="4" s="1"/>
  <c r="B37" i="4"/>
  <c r="C37" i="4" s="1"/>
  <c r="D37" i="4" s="1"/>
  <c r="B41" i="4"/>
  <c r="C41" i="4" s="1"/>
  <c r="D41" i="4" s="1"/>
  <c r="B45" i="4"/>
  <c r="C45" i="4" s="1"/>
  <c r="D45" i="4" s="1"/>
  <c r="B2" i="4"/>
  <c r="C2" i="4" s="1"/>
  <c r="D2" i="4" s="1"/>
  <c r="B3" i="4"/>
  <c r="C3" i="4" s="1"/>
  <c r="D3" i="4" s="1"/>
  <c r="B4" i="4"/>
  <c r="C4" i="4" s="1"/>
  <c r="D4" i="4" s="1"/>
  <c r="B8" i="4"/>
  <c r="C8" i="4" s="1"/>
  <c r="D8" i="4" s="1"/>
  <c r="B13" i="4"/>
  <c r="C13" i="4" s="1"/>
  <c r="D13" i="4" s="1"/>
  <c r="B15" i="4"/>
  <c r="C15" i="4" s="1"/>
  <c r="D15" i="4" s="1"/>
  <c r="B20" i="4"/>
  <c r="C20" i="4" s="1"/>
  <c r="D20" i="4" s="1"/>
  <c r="B24" i="4"/>
  <c r="C24" i="4" s="1"/>
  <c r="D24" i="4" s="1"/>
  <c r="B28" i="4"/>
  <c r="C28" i="4" s="1"/>
  <c r="D28" i="4" s="1"/>
  <c r="B32" i="4"/>
  <c r="C32" i="4" s="1"/>
  <c r="D32" i="4" s="1"/>
  <c r="B36" i="4"/>
  <c r="C36" i="4" s="1"/>
  <c r="D36" i="4" s="1"/>
  <c r="B40" i="4"/>
  <c r="C40" i="4" s="1"/>
  <c r="D40" i="4" s="1"/>
  <c r="C4" i="7"/>
  <c r="C5" i="7"/>
  <c r="C6" i="7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E4" i="7"/>
  <c r="E5" i="7"/>
  <c r="E6" i="7"/>
  <c r="E7" i="7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3" i="7"/>
  <c r="C3" i="7"/>
  <c r="C2" i="5" l="1"/>
  <c r="D2" i="5" s="1"/>
  <c r="E2" i="5" s="1"/>
  <c r="F2" i="5" s="1"/>
  <c r="C7" i="5"/>
  <c r="D7" i="5" s="1"/>
  <c r="E7" i="5" s="1"/>
  <c r="F7" i="5" s="1"/>
  <c r="C3" i="5"/>
  <c r="D3" i="5" s="1"/>
  <c r="E3" i="5" s="1"/>
  <c r="F3" i="5" s="1"/>
  <c r="C4" i="5"/>
  <c r="D4" i="5" s="1"/>
  <c r="E4" i="5" s="1"/>
  <c r="F4" i="5" s="1"/>
  <c r="C5" i="5"/>
  <c r="D5" i="5" s="1"/>
  <c r="E5" i="5" s="1"/>
  <c r="F5" i="5" s="1"/>
  <c r="C6" i="5"/>
  <c r="D6" i="5" s="1"/>
  <c r="E6" i="5" s="1"/>
  <c r="F6" i="5" s="1"/>
  <c r="C8" i="5"/>
  <c r="D8" i="5" s="1"/>
  <c r="E8" i="5" s="1"/>
  <c r="F8" i="5" s="1"/>
  <c r="C9" i="5"/>
  <c r="D9" i="5" s="1"/>
  <c r="E9" i="5" s="1"/>
  <c r="F9" i="5" s="1"/>
  <c r="C10" i="5"/>
  <c r="D10" i="5" s="1"/>
  <c r="E10" i="5" s="1"/>
  <c r="F10" i="5" s="1"/>
  <c r="C11" i="5"/>
  <c r="D11" i="5" s="1"/>
  <c r="E11" i="5" s="1"/>
  <c r="F11" i="5" s="1"/>
  <c r="C12" i="5"/>
  <c r="D12" i="5" s="1"/>
  <c r="E12" i="5" s="1"/>
  <c r="F12" i="5" s="1"/>
  <c r="C13" i="5"/>
  <c r="D13" i="5" s="1"/>
  <c r="E13" i="5" s="1"/>
  <c r="F13" i="5" s="1"/>
  <c r="C14" i="5"/>
  <c r="D14" i="5" s="1"/>
  <c r="E14" i="5" s="1"/>
  <c r="F14" i="5" s="1"/>
  <c r="C15" i="5"/>
  <c r="D15" i="5" s="1"/>
  <c r="E15" i="5" s="1"/>
  <c r="F15" i="5" s="1"/>
  <c r="C16" i="5"/>
  <c r="D16" i="5" s="1"/>
  <c r="E16" i="5" s="1"/>
  <c r="F16" i="5" s="1"/>
  <c r="C17" i="5"/>
  <c r="D17" i="5" s="1"/>
  <c r="E17" i="5" s="1"/>
  <c r="F17" i="5" s="1"/>
  <c r="C18" i="5"/>
  <c r="D18" i="5" s="1"/>
  <c r="E18" i="5" s="1"/>
  <c r="F18" i="5" s="1"/>
  <c r="C19" i="5"/>
  <c r="D19" i="5" s="1"/>
  <c r="E19" i="5" s="1"/>
  <c r="F19" i="5" s="1"/>
  <c r="C20" i="5"/>
  <c r="D20" i="5" s="1"/>
  <c r="E20" i="5" s="1"/>
  <c r="F20" i="5" s="1"/>
  <c r="C21" i="5"/>
  <c r="D21" i="5" s="1"/>
  <c r="E21" i="5" s="1"/>
  <c r="F21" i="5" s="1"/>
  <c r="C22" i="5"/>
  <c r="D22" i="5" s="1"/>
  <c r="E22" i="5" s="1"/>
  <c r="F22" i="5" s="1"/>
  <c r="C23" i="5"/>
  <c r="D23" i="5" s="1"/>
  <c r="E23" i="5" s="1"/>
  <c r="F23" i="5" s="1"/>
  <c r="C24" i="5"/>
  <c r="D24" i="5" s="1"/>
  <c r="E24" i="5" s="1"/>
  <c r="F24" i="5" s="1"/>
  <c r="C25" i="5"/>
  <c r="D25" i="5" s="1"/>
  <c r="E25" i="5" s="1"/>
  <c r="F25" i="5" s="1"/>
  <c r="C26" i="5"/>
  <c r="D26" i="5" s="1"/>
  <c r="E26" i="5" s="1"/>
  <c r="F26" i="5" s="1"/>
  <c r="C27" i="5"/>
  <c r="D27" i="5" s="1"/>
  <c r="E27" i="5" s="1"/>
  <c r="F27" i="5" s="1"/>
  <c r="C28" i="5"/>
  <c r="D28" i="5" s="1"/>
  <c r="E28" i="5" s="1"/>
  <c r="F28" i="5" s="1"/>
  <c r="C29" i="5"/>
  <c r="D29" i="5" s="1"/>
  <c r="E29" i="5" s="1"/>
  <c r="F29" i="5" s="1"/>
  <c r="C30" i="5"/>
  <c r="D30" i="5" s="1"/>
  <c r="E30" i="5" s="1"/>
  <c r="F30" i="5" s="1"/>
  <c r="C31" i="5"/>
  <c r="D31" i="5" s="1"/>
  <c r="E31" i="5" s="1"/>
  <c r="F31" i="5" s="1"/>
  <c r="C32" i="5"/>
  <c r="D32" i="5" s="1"/>
  <c r="E32" i="5" s="1"/>
  <c r="F32" i="5" s="1"/>
  <c r="C33" i="5"/>
  <c r="D33" i="5" s="1"/>
  <c r="E33" i="5" s="1"/>
  <c r="F33" i="5" s="1"/>
  <c r="C34" i="5"/>
  <c r="D34" i="5" s="1"/>
  <c r="E34" i="5" s="1"/>
  <c r="F34" i="5" s="1"/>
  <c r="C35" i="5"/>
  <c r="D35" i="5" s="1"/>
  <c r="E35" i="5" s="1"/>
  <c r="F35" i="5" s="1"/>
  <c r="C36" i="5"/>
  <c r="D36" i="5" s="1"/>
  <c r="E36" i="5" s="1"/>
  <c r="F36" i="5" s="1"/>
  <c r="C37" i="5"/>
  <c r="D37" i="5" s="1"/>
  <c r="E37" i="5" s="1"/>
  <c r="F37" i="5" s="1"/>
  <c r="C38" i="5"/>
  <c r="D38" i="5" s="1"/>
  <c r="E38" i="5" s="1"/>
  <c r="F38" i="5" s="1"/>
  <c r="C39" i="5"/>
  <c r="D39" i="5" s="1"/>
  <c r="E39" i="5" s="1"/>
  <c r="F39" i="5" s="1"/>
  <c r="C40" i="5"/>
  <c r="D40" i="5" s="1"/>
  <c r="E40" i="5" s="1"/>
  <c r="F40" i="5" s="1"/>
  <c r="C41" i="5"/>
  <c r="D41" i="5" s="1"/>
  <c r="E41" i="5" s="1"/>
  <c r="F41" i="5" s="1"/>
  <c r="C42" i="5"/>
  <c r="D42" i="5" s="1"/>
  <c r="E42" i="5" s="1"/>
  <c r="F42" i="5" s="1"/>
  <c r="C43" i="5"/>
  <c r="D43" i="5" s="1"/>
  <c r="E43" i="5" s="1"/>
  <c r="F43" i="5" s="1"/>
  <c r="C44" i="5"/>
  <c r="D44" i="5" s="1"/>
  <c r="E44" i="5" s="1"/>
  <c r="F44" i="5" s="1"/>
  <c r="C45" i="5"/>
  <c r="D45" i="5" s="1"/>
  <c r="E45" i="5" s="1"/>
  <c r="F45" i="5" s="1"/>
  <c r="C46" i="5"/>
  <c r="D46" i="5" s="1"/>
  <c r="E46" i="5" s="1"/>
  <c r="F46" i="5" s="1"/>
  <c r="C47" i="5"/>
  <c r="D47" i="5" s="1"/>
  <c r="E47" i="5" s="1"/>
  <c r="F47" i="5" s="1"/>
  <c r="C48" i="5"/>
  <c r="D48" i="5" s="1"/>
  <c r="E48" i="5" s="1"/>
  <c r="F48" i="5" s="1"/>
  <c r="C49" i="5"/>
  <c r="D49" i="5" s="1"/>
  <c r="E49" i="5" s="1"/>
  <c r="F49" i="5" s="1"/>
  <c r="C50" i="5"/>
  <c r="D50" i="5" s="1"/>
  <c r="E50" i="5" s="1"/>
  <c r="F50" i="5" s="1"/>
  <c r="C51" i="5"/>
  <c r="D51" i="5" s="1"/>
  <c r="E51" i="5" s="1"/>
  <c r="F51" i="5" s="1"/>
  <c r="C52" i="5"/>
  <c r="D52" i="5" s="1"/>
  <c r="E52" i="5" s="1"/>
  <c r="F52" i="5" s="1"/>
  <c r="C53" i="5"/>
  <c r="D53" i="5" s="1"/>
  <c r="E53" i="5" s="1"/>
  <c r="F53" i="5" s="1"/>
  <c r="C54" i="5"/>
  <c r="D54" i="5" s="1"/>
  <c r="E54" i="5" s="1"/>
  <c r="F54" i="5" s="1"/>
  <c r="C55" i="5"/>
  <c r="D55" i="5" s="1"/>
  <c r="E55" i="5" s="1"/>
  <c r="F55" i="5" s="1"/>
  <c r="C56" i="5"/>
  <c r="D56" i="5" s="1"/>
  <c r="E56" i="5" s="1"/>
  <c r="F56" i="5" s="1"/>
  <c r="C57" i="5"/>
  <c r="D57" i="5" s="1"/>
  <c r="E57" i="5" s="1"/>
  <c r="F57" i="5" s="1"/>
  <c r="C58" i="5"/>
  <c r="D58" i="5" s="1"/>
  <c r="E58" i="5" s="1"/>
  <c r="F58" i="5" s="1"/>
  <c r="C59" i="5"/>
  <c r="D59" i="5" s="1"/>
  <c r="E59" i="5" s="1"/>
  <c r="F59" i="5" s="1"/>
  <c r="C60" i="5"/>
  <c r="D60" i="5" s="1"/>
  <c r="E60" i="5" s="1"/>
  <c r="F60" i="5" s="1"/>
  <c r="C61" i="5"/>
  <c r="D61" i="5" s="1"/>
  <c r="E61" i="5" s="1"/>
  <c r="F61" i="5" s="1"/>
  <c r="C62" i="5"/>
  <c r="D62" i="5" s="1"/>
  <c r="E62" i="5" s="1"/>
  <c r="F62" i="5" s="1"/>
  <c r="C63" i="5"/>
  <c r="D63" i="5" s="1"/>
  <c r="E63" i="5" s="1"/>
  <c r="F63" i="5" s="1"/>
  <c r="C64" i="5"/>
  <c r="D64" i="5" s="1"/>
  <c r="E64" i="5" s="1"/>
  <c r="F64" i="5" s="1"/>
  <c r="C65" i="5"/>
  <c r="D65" i="5" s="1"/>
  <c r="E65" i="5" s="1"/>
  <c r="F65" i="5" s="1"/>
  <c r="C66" i="5"/>
  <c r="D66" i="5" s="1"/>
  <c r="E66" i="5" s="1"/>
  <c r="F66" i="5" s="1"/>
  <c r="C67" i="5"/>
  <c r="D67" i="5" s="1"/>
  <c r="E67" i="5" s="1"/>
  <c r="F67" i="5" s="1"/>
  <c r="C68" i="5"/>
  <c r="D68" i="5" s="1"/>
  <c r="E68" i="5" s="1"/>
  <c r="F68" i="5" s="1"/>
  <c r="C69" i="5"/>
  <c r="D69" i="5" s="1"/>
  <c r="E69" i="5" s="1"/>
  <c r="F69" i="5" s="1"/>
  <c r="C70" i="5"/>
  <c r="D70" i="5" s="1"/>
  <c r="E70" i="5" s="1"/>
  <c r="F70" i="5" s="1"/>
  <c r="C71" i="5"/>
  <c r="D71" i="5" s="1"/>
  <c r="E71" i="5" s="1"/>
  <c r="F71" i="5" s="1"/>
  <c r="C72" i="5"/>
  <c r="D72" i="5" s="1"/>
  <c r="E72" i="5" s="1"/>
  <c r="F72" i="5" s="1"/>
  <c r="C73" i="5"/>
  <c r="D73" i="5" s="1"/>
  <c r="E73" i="5" s="1"/>
  <c r="F73" i="5" s="1"/>
  <c r="C74" i="5"/>
  <c r="D74" i="5" s="1"/>
  <c r="E74" i="5" s="1"/>
  <c r="F74" i="5" s="1"/>
  <c r="C75" i="5"/>
  <c r="D75" i="5" s="1"/>
  <c r="E75" i="5" s="1"/>
  <c r="F75" i="5" s="1"/>
  <c r="C76" i="5"/>
  <c r="D76" i="5" s="1"/>
  <c r="E76" i="5" s="1"/>
  <c r="F76" i="5" s="1"/>
  <c r="C77" i="5"/>
  <c r="D77" i="5" s="1"/>
  <c r="E77" i="5" s="1"/>
  <c r="F77" i="5" s="1"/>
  <c r="C78" i="5"/>
  <c r="D78" i="5" s="1"/>
  <c r="E78" i="5" s="1"/>
  <c r="F78" i="5" s="1"/>
  <c r="C79" i="5"/>
  <c r="D79" i="5" s="1"/>
  <c r="E79" i="5" s="1"/>
  <c r="F79" i="5" s="1"/>
  <c r="C80" i="5"/>
  <c r="D80" i="5" s="1"/>
  <c r="E80" i="5" s="1"/>
  <c r="F80" i="5" s="1"/>
  <c r="C81" i="5"/>
  <c r="D81" i="5" s="1"/>
  <c r="E81" i="5" s="1"/>
  <c r="F81" i="5" s="1"/>
  <c r="C82" i="5"/>
  <c r="D82" i="5" s="1"/>
  <c r="E82" i="5" s="1"/>
  <c r="F82" i="5" s="1"/>
  <c r="C83" i="5"/>
  <c r="D83" i="5" s="1"/>
  <c r="E83" i="5" s="1"/>
  <c r="F83" i="5" s="1"/>
  <c r="C84" i="5"/>
  <c r="D84" i="5" s="1"/>
  <c r="E84" i="5" s="1"/>
  <c r="F84" i="5" s="1"/>
  <c r="C85" i="5"/>
  <c r="D85" i="5" s="1"/>
  <c r="E85" i="5" s="1"/>
  <c r="F85" i="5" s="1"/>
  <c r="C86" i="5"/>
  <c r="D86" i="5" s="1"/>
  <c r="E86" i="5" s="1"/>
  <c r="F86" i="5" s="1"/>
  <c r="C87" i="5"/>
  <c r="D87" i="5" s="1"/>
  <c r="E87" i="5" s="1"/>
  <c r="F87" i="5" s="1"/>
  <c r="C88" i="5"/>
  <c r="D88" i="5" s="1"/>
  <c r="E88" i="5" s="1"/>
  <c r="F88" i="5" s="1"/>
  <c r="C89" i="5"/>
  <c r="D89" i="5" s="1"/>
  <c r="E89" i="5" s="1"/>
  <c r="F89" i="5" s="1"/>
  <c r="C90" i="5"/>
  <c r="D90" i="5" s="1"/>
  <c r="E90" i="5" s="1"/>
  <c r="F90" i="5" s="1"/>
  <c r="C91" i="5"/>
  <c r="D91" i="5" s="1"/>
  <c r="E91" i="5" s="1"/>
  <c r="F91" i="5" s="1"/>
  <c r="C92" i="5"/>
  <c r="D92" i="5" s="1"/>
  <c r="E92" i="5" s="1"/>
  <c r="F92" i="5" s="1"/>
  <c r="C93" i="5"/>
  <c r="D93" i="5" s="1"/>
  <c r="E93" i="5" s="1"/>
  <c r="F93" i="5" s="1"/>
  <c r="C94" i="5"/>
  <c r="D94" i="5" s="1"/>
  <c r="E94" i="5" s="1"/>
  <c r="F94" i="5" s="1"/>
  <c r="C95" i="5"/>
  <c r="D95" i="5" s="1"/>
  <c r="E95" i="5" s="1"/>
  <c r="F95" i="5" s="1"/>
  <c r="C96" i="5"/>
  <c r="D96" i="5" s="1"/>
  <c r="E96" i="5" s="1"/>
  <c r="F96" i="5" s="1"/>
  <c r="C97" i="5"/>
  <c r="D97" i="5" s="1"/>
  <c r="E97" i="5" s="1"/>
  <c r="F97" i="5" s="1"/>
  <c r="C98" i="5"/>
  <c r="D98" i="5" s="1"/>
  <c r="E98" i="5" s="1"/>
  <c r="F98" i="5" s="1"/>
  <c r="C99" i="5"/>
  <c r="D99" i="5" s="1"/>
  <c r="E99" i="5" s="1"/>
  <c r="F99" i="5" s="1"/>
  <c r="C100" i="5"/>
  <c r="D100" i="5" s="1"/>
  <c r="E100" i="5" s="1"/>
  <c r="F100" i="5" s="1"/>
  <c r="C101" i="5"/>
  <c r="D101" i="5" s="1"/>
  <c r="E101" i="5" s="1"/>
  <c r="F101" i="5" s="1"/>
  <c r="C102" i="5"/>
  <c r="D102" i="5" s="1"/>
  <c r="E102" i="5" s="1"/>
  <c r="F102" i="5" s="1"/>
  <c r="C103" i="5"/>
  <c r="D103" i="5" s="1"/>
  <c r="E103" i="5" s="1"/>
  <c r="F103" i="5" s="1"/>
  <c r="C104" i="5"/>
  <c r="D104" i="5" s="1"/>
  <c r="E104" i="5" s="1"/>
  <c r="F104" i="5" s="1"/>
  <c r="C105" i="5"/>
  <c r="D105" i="5" s="1"/>
  <c r="E105" i="5" s="1"/>
  <c r="F105" i="5" s="1"/>
  <c r="C106" i="5"/>
  <c r="D106" i="5" s="1"/>
  <c r="E106" i="5" s="1"/>
  <c r="F106" i="5" s="1"/>
  <c r="C107" i="5"/>
  <c r="D107" i="5" s="1"/>
  <c r="E107" i="5" s="1"/>
  <c r="F107" i="5" s="1"/>
  <c r="C108" i="5"/>
  <c r="D108" i="5" s="1"/>
  <c r="E108" i="5" s="1"/>
  <c r="F108" i="5" s="1"/>
  <c r="C109" i="5"/>
  <c r="D109" i="5" s="1"/>
  <c r="E109" i="5" s="1"/>
  <c r="F109" i="5" s="1"/>
  <c r="C110" i="5"/>
  <c r="D110" i="5" s="1"/>
  <c r="E110" i="5" s="1"/>
  <c r="F110" i="5" s="1"/>
  <c r="C111" i="5"/>
  <c r="D111" i="5" s="1"/>
  <c r="E111" i="5" s="1"/>
  <c r="F111" i="5" s="1"/>
  <c r="C112" i="5"/>
  <c r="D112" i="5" s="1"/>
  <c r="E112" i="5" s="1"/>
  <c r="F112" i="5" s="1"/>
  <c r="C113" i="5"/>
  <c r="D113" i="5" s="1"/>
  <c r="E113" i="5" s="1"/>
  <c r="F113" i="5" s="1"/>
  <c r="C114" i="5"/>
  <c r="D114" i="5" s="1"/>
  <c r="E114" i="5" s="1"/>
  <c r="F114" i="5" s="1"/>
  <c r="C115" i="5"/>
  <c r="D115" i="5" s="1"/>
  <c r="E115" i="5" s="1"/>
  <c r="F115" i="5" s="1"/>
  <c r="C116" i="5"/>
  <c r="D116" i="5" s="1"/>
  <c r="E116" i="5" s="1"/>
  <c r="F116" i="5" s="1"/>
  <c r="C117" i="5"/>
  <c r="D117" i="5" s="1"/>
  <c r="E117" i="5" s="1"/>
  <c r="F117" i="5" s="1"/>
  <c r="C118" i="5"/>
  <c r="D118" i="5" s="1"/>
  <c r="E118" i="5" s="1"/>
  <c r="F118" i="5" s="1"/>
  <c r="C119" i="5"/>
  <c r="D119" i="5" s="1"/>
  <c r="E119" i="5" s="1"/>
  <c r="F119" i="5" s="1"/>
  <c r="C120" i="5"/>
  <c r="D120" i="5" s="1"/>
  <c r="E120" i="5" s="1"/>
  <c r="F120" i="5" s="1"/>
  <c r="C121" i="5"/>
  <c r="D121" i="5" s="1"/>
  <c r="E121" i="5" s="1"/>
  <c r="F121" i="5" s="1"/>
  <c r="C122" i="5"/>
  <c r="D122" i="5" s="1"/>
  <c r="E122" i="5" s="1"/>
  <c r="F122" i="5" s="1"/>
  <c r="C123" i="5"/>
  <c r="D123" i="5" s="1"/>
  <c r="E123" i="5" s="1"/>
  <c r="F123" i="5" s="1"/>
  <c r="C124" i="5"/>
  <c r="D124" i="5" s="1"/>
  <c r="E124" i="5" s="1"/>
  <c r="F124" i="5" s="1"/>
  <c r="C125" i="5"/>
  <c r="D125" i="5" s="1"/>
  <c r="E125" i="5" s="1"/>
  <c r="F125" i="5" s="1"/>
  <c r="C126" i="5"/>
  <c r="D126" i="5" s="1"/>
  <c r="E126" i="5" s="1"/>
  <c r="F126" i="5" s="1"/>
  <c r="C127" i="5"/>
  <c r="D127" i="5" s="1"/>
  <c r="E127" i="5" s="1"/>
  <c r="F127" i="5" s="1"/>
  <c r="C128" i="5"/>
  <c r="D128" i="5" s="1"/>
  <c r="E128" i="5" s="1"/>
  <c r="F128" i="5" s="1"/>
  <c r="C129" i="5"/>
  <c r="D129" i="5" s="1"/>
  <c r="E129" i="5" s="1"/>
  <c r="F129" i="5" s="1"/>
  <c r="C130" i="5"/>
  <c r="D130" i="5" s="1"/>
  <c r="E130" i="5" s="1"/>
  <c r="F130" i="5" s="1"/>
  <c r="C131" i="5"/>
  <c r="D131" i="5" s="1"/>
  <c r="E131" i="5" s="1"/>
  <c r="F131" i="5" s="1"/>
  <c r="C132" i="5"/>
  <c r="D132" i="5" s="1"/>
  <c r="E132" i="5" s="1"/>
  <c r="F132" i="5" s="1"/>
  <c r="C133" i="5"/>
  <c r="D133" i="5" s="1"/>
  <c r="E133" i="5" s="1"/>
  <c r="F133" i="5" s="1"/>
  <c r="C134" i="5"/>
  <c r="D134" i="5" s="1"/>
  <c r="E134" i="5" s="1"/>
  <c r="F134" i="5" s="1"/>
  <c r="C135" i="5"/>
  <c r="D135" i="5" s="1"/>
  <c r="E135" i="5" s="1"/>
  <c r="F135" i="5" s="1"/>
  <c r="C136" i="5"/>
  <c r="D136" i="5" s="1"/>
  <c r="E136" i="5" s="1"/>
  <c r="F136" i="5" s="1"/>
  <c r="C137" i="5"/>
  <c r="D137" i="5" s="1"/>
  <c r="E137" i="5" s="1"/>
  <c r="F137" i="5" s="1"/>
  <c r="C138" i="5"/>
  <c r="D138" i="5" s="1"/>
  <c r="E138" i="5" s="1"/>
  <c r="F138" i="5" s="1"/>
  <c r="C139" i="5"/>
  <c r="D139" i="5" s="1"/>
  <c r="E139" i="5" s="1"/>
  <c r="F139" i="5" s="1"/>
  <c r="C140" i="5"/>
  <c r="D140" i="5" s="1"/>
  <c r="E140" i="5" s="1"/>
  <c r="F140" i="5" s="1"/>
  <c r="C141" i="5"/>
  <c r="D141" i="5" s="1"/>
  <c r="E141" i="5" s="1"/>
  <c r="F141" i="5" s="1"/>
  <c r="C142" i="5"/>
  <c r="D142" i="5" s="1"/>
  <c r="E142" i="5" s="1"/>
  <c r="F142" i="5" s="1"/>
  <c r="C143" i="5"/>
  <c r="D143" i="5" s="1"/>
  <c r="E143" i="5" s="1"/>
  <c r="F143" i="5" s="1"/>
  <c r="C144" i="5"/>
  <c r="D144" i="5" s="1"/>
  <c r="E144" i="5" s="1"/>
  <c r="F144" i="5" s="1"/>
  <c r="C145" i="5"/>
  <c r="D145" i="5" s="1"/>
  <c r="E145" i="5" s="1"/>
  <c r="F145" i="5" s="1"/>
  <c r="C146" i="5"/>
  <c r="D146" i="5" s="1"/>
  <c r="E146" i="5" s="1"/>
  <c r="F146" i="5" s="1"/>
  <c r="C147" i="5"/>
  <c r="D147" i="5" s="1"/>
  <c r="E147" i="5" s="1"/>
  <c r="F147" i="5" s="1"/>
  <c r="C148" i="5"/>
  <c r="D148" i="5" s="1"/>
  <c r="E148" i="5" s="1"/>
  <c r="F148" i="5" s="1"/>
  <c r="C149" i="5"/>
  <c r="D149" i="5" s="1"/>
  <c r="E149" i="5" s="1"/>
  <c r="F149" i="5" s="1"/>
  <c r="C150" i="5"/>
  <c r="D150" i="5" s="1"/>
  <c r="E150" i="5" s="1"/>
  <c r="F150" i="5" s="1"/>
  <c r="C151" i="5"/>
  <c r="D151" i="5" s="1"/>
  <c r="E151" i="5" s="1"/>
  <c r="F151" i="5" s="1"/>
  <c r="C152" i="5"/>
  <c r="D152" i="5" s="1"/>
  <c r="E152" i="5" s="1"/>
  <c r="F152" i="5" s="1"/>
  <c r="C153" i="5"/>
  <c r="D153" i="5" s="1"/>
  <c r="E153" i="5" s="1"/>
  <c r="F153" i="5" s="1"/>
  <c r="C154" i="5"/>
  <c r="D154" i="5" s="1"/>
  <c r="E154" i="5" s="1"/>
  <c r="F154" i="5" s="1"/>
  <c r="C155" i="5"/>
  <c r="D155" i="5" s="1"/>
  <c r="E155" i="5" s="1"/>
  <c r="F155" i="5" s="1"/>
  <c r="C156" i="5"/>
  <c r="D156" i="5" s="1"/>
  <c r="E156" i="5" s="1"/>
  <c r="F156" i="5" s="1"/>
  <c r="C157" i="5"/>
  <c r="D157" i="5" s="1"/>
  <c r="E157" i="5" s="1"/>
  <c r="F157" i="5" s="1"/>
  <c r="C158" i="5"/>
  <c r="D158" i="5" s="1"/>
  <c r="E158" i="5" s="1"/>
  <c r="F158" i="5" s="1"/>
  <c r="C159" i="5"/>
  <c r="D159" i="5" s="1"/>
  <c r="E159" i="5" s="1"/>
  <c r="F159" i="5" s="1"/>
  <c r="C160" i="5"/>
  <c r="D160" i="5" s="1"/>
  <c r="E160" i="5" s="1"/>
  <c r="F160" i="5" s="1"/>
  <c r="C161" i="5"/>
  <c r="D161" i="5" s="1"/>
  <c r="E161" i="5" s="1"/>
  <c r="F161" i="5" s="1"/>
  <c r="C162" i="5"/>
  <c r="D162" i="5" s="1"/>
  <c r="E162" i="5" s="1"/>
  <c r="F162" i="5" s="1"/>
  <c r="C163" i="5"/>
  <c r="D163" i="5" s="1"/>
  <c r="E163" i="5" s="1"/>
  <c r="F163" i="5" s="1"/>
  <c r="C164" i="5"/>
  <c r="D164" i="5" s="1"/>
  <c r="E164" i="5" s="1"/>
  <c r="F164" i="5" s="1"/>
  <c r="C165" i="5"/>
  <c r="D165" i="5" s="1"/>
  <c r="E165" i="5" s="1"/>
  <c r="F165" i="5" s="1"/>
  <c r="C166" i="5"/>
  <c r="D166" i="5" s="1"/>
  <c r="E166" i="5" s="1"/>
  <c r="F166" i="5" s="1"/>
  <c r="C167" i="5"/>
  <c r="D167" i="5" s="1"/>
  <c r="E167" i="5" s="1"/>
  <c r="F167" i="5" s="1"/>
  <c r="C168" i="5"/>
  <c r="D168" i="5" s="1"/>
  <c r="E168" i="5" s="1"/>
  <c r="F168" i="5" s="1"/>
  <c r="C169" i="5"/>
  <c r="D169" i="5" s="1"/>
  <c r="E169" i="5" s="1"/>
  <c r="F169" i="5" s="1"/>
  <c r="C170" i="5"/>
  <c r="D170" i="5" s="1"/>
  <c r="E170" i="5" s="1"/>
  <c r="F170" i="5" s="1"/>
  <c r="C171" i="5"/>
  <c r="D171" i="5" s="1"/>
  <c r="E171" i="5" s="1"/>
  <c r="F171" i="5" s="1"/>
  <c r="C172" i="5"/>
  <c r="D172" i="5" s="1"/>
  <c r="E172" i="5" s="1"/>
  <c r="F172" i="5" s="1"/>
  <c r="C173" i="5"/>
  <c r="D173" i="5" s="1"/>
  <c r="E173" i="5" s="1"/>
  <c r="F173" i="5" s="1"/>
  <c r="C174" i="5"/>
  <c r="D174" i="5" s="1"/>
  <c r="E174" i="5" s="1"/>
  <c r="F174" i="5" s="1"/>
  <c r="C175" i="5"/>
  <c r="D175" i="5" s="1"/>
  <c r="E175" i="5" s="1"/>
  <c r="F175" i="5" s="1"/>
  <c r="C176" i="5"/>
  <c r="D176" i="5" s="1"/>
  <c r="E176" i="5" s="1"/>
  <c r="F176" i="5" s="1"/>
  <c r="C177" i="5"/>
  <c r="D177" i="5" s="1"/>
  <c r="E177" i="5" s="1"/>
  <c r="F177" i="5" s="1"/>
  <c r="C178" i="5"/>
  <c r="D178" i="5" s="1"/>
  <c r="E178" i="5" s="1"/>
  <c r="F178" i="5" s="1"/>
  <c r="C179" i="5"/>
  <c r="D179" i="5" s="1"/>
  <c r="E179" i="5" s="1"/>
  <c r="F179" i="5" s="1"/>
  <c r="C180" i="5"/>
  <c r="D180" i="5" s="1"/>
  <c r="E180" i="5" s="1"/>
  <c r="F180" i="5" s="1"/>
  <c r="C181" i="5"/>
  <c r="D181" i="5" s="1"/>
  <c r="E181" i="5" s="1"/>
  <c r="F181" i="5" s="1"/>
  <c r="C182" i="5"/>
  <c r="D182" i="5" s="1"/>
  <c r="E182" i="5" s="1"/>
  <c r="F182" i="5" s="1"/>
  <c r="C183" i="5"/>
  <c r="D183" i="5" s="1"/>
  <c r="E183" i="5" s="1"/>
  <c r="F183" i="5" s="1"/>
  <c r="C184" i="5"/>
  <c r="D184" i="5" s="1"/>
  <c r="E184" i="5" s="1"/>
  <c r="F184" i="5" s="1"/>
  <c r="C185" i="5"/>
  <c r="D185" i="5" s="1"/>
  <c r="E185" i="5" s="1"/>
  <c r="F185" i="5" s="1"/>
  <c r="C186" i="5"/>
  <c r="D186" i="5" s="1"/>
  <c r="E186" i="5" s="1"/>
  <c r="F186" i="5" s="1"/>
  <c r="C187" i="5"/>
  <c r="D187" i="5" s="1"/>
  <c r="E187" i="5" s="1"/>
  <c r="F187" i="5" s="1"/>
  <c r="C188" i="5"/>
  <c r="D188" i="5" s="1"/>
  <c r="E188" i="5" s="1"/>
  <c r="F188" i="5" s="1"/>
  <c r="C189" i="5"/>
  <c r="D189" i="5" s="1"/>
  <c r="E189" i="5" s="1"/>
  <c r="F189" i="5" s="1"/>
  <c r="C190" i="5"/>
  <c r="D190" i="5" s="1"/>
  <c r="E190" i="5" s="1"/>
  <c r="F190" i="5" s="1"/>
  <c r="C191" i="5"/>
  <c r="D191" i="5" s="1"/>
  <c r="E191" i="5" s="1"/>
  <c r="F191" i="5" s="1"/>
  <c r="C192" i="5"/>
  <c r="D192" i="5" s="1"/>
  <c r="E192" i="5" s="1"/>
  <c r="F192" i="5" s="1"/>
  <c r="C193" i="5"/>
  <c r="D193" i="5" s="1"/>
  <c r="E193" i="5" s="1"/>
  <c r="F193" i="5" s="1"/>
  <c r="C194" i="5"/>
  <c r="D194" i="5" s="1"/>
  <c r="E194" i="5" s="1"/>
  <c r="F194" i="5" s="1"/>
  <c r="C195" i="5"/>
  <c r="D195" i="5" s="1"/>
  <c r="E195" i="5" s="1"/>
  <c r="F195" i="5" s="1"/>
  <c r="C196" i="5"/>
  <c r="D196" i="5" s="1"/>
  <c r="E196" i="5" s="1"/>
  <c r="F196" i="5" s="1"/>
  <c r="C197" i="5"/>
  <c r="D197" i="5" s="1"/>
  <c r="E197" i="5" s="1"/>
  <c r="F197" i="5" s="1"/>
  <c r="C198" i="5"/>
  <c r="D198" i="5" s="1"/>
  <c r="E198" i="5" s="1"/>
  <c r="F198" i="5" s="1"/>
  <c r="C199" i="5"/>
  <c r="D199" i="5" s="1"/>
  <c r="E199" i="5" s="1"/>
  <c r="F199" i="5" s="1"/>
  <c r="C200" i="5"/>
  <c r="D200" i="5" s="1"/>
  <c r="E200" i="5" s="1"/>
  <c r="F200" i="5" s="1"/>
  <c r="C201" i="5"/>
  <c r="D201" i="5" s="1"/>
  <c r="E201" i="5" s="1"/>
  <c r="F201" i="5" s="1"/>
  <c r="C202" i="5"/>
  <c r="D202" i="5" s="1"/>
  <c r="E202" i="5" s="1"/>
  <c r="F202" i="5" s="1"/>
  <c r="C203" i="5"/>
  <c r="D203" i="5" s="1"/>
  <c r="E203" i="5" s="1"/>
  <c r="F203" i="5" s="1"/>
  <c r="C204" i="5"/>
  <c r="D204" i="5" s="1"/>
  <c r="E204" i="5" s="1"/>
  <c r="F204" i="5" s="1"/>
  <c r="C205" i="5"/>
  <c r="D205" i="5" s="1"/>
  <c r="E205" i="5" s="1"/>
  <c r="F205" i="5" s="1"/>
  <c r="C206" i="5"/>
  <c r="D206" i="5" s="1"/>
  <c r="E206" i="5" s="1"/>
  <c r="F206" i="5" s="1"/>
  <c r="C207" i="5"/>
  <c r="D207" i="5" s="1"/>
  <c r="E207" i="5" s="1"/>
  <c r="F207" i="5" s="1"/>
  <c r="C208" i="5"/>
  <c r="D208" i="5" s="1"/>
  <c r="E208" i="5" s="1"/>
  <c r="F208" i="5" s="1"/>
  <c r="C209" i="5"/>
  <c r="D209" i="5" s="1"/>
  <c r="E209" i="5" s="1"/>
  <c r="F209" i="5" s="1"/>
  <c r="C210" i="5"/>
  <c r="D210" i="5" s="1"/>
  <c r="E210" i="5" s="1"/>
  <c r="F210" i="5" s="1"/>
  <c r="C211" i="5"/>
  <c r="D211" i="5" s="1"/>
  <c r="E211" i="5" s="1"/>
  <c r="F211" i="5" s="1"/>
  <c r="C212" i="5"/>
  <c r="D212" i="5" s="1"/>
  <c r="E212" i="5" s="1"/>
  <c r="F212" i="5" s="1"/>
  <c r="C213" i="5"/>
  <c r="D213" i="5" s="1"/>
  <c r="E213" i="5" s="1"/>
  <c r="F213" i="5" s="1"/>
  <c r="C214" i="5"/>
  <c r="D214" i="5" s="1"/>
  <c r="E214" i="5" s="1"/>
  <c r="F214" i="5" s="1"/>
  <c r="C215" i="5"/>
  <c r="D215" i="5" s="1"/>
  <c r="E215" i="5" s="1"/>
  <c r="F215" i="5" s="1"/>
  <c r="C216" i="5"/>
  <c r="D216" i="5" s="1"/>
  <c r="E216" i="5" s="1"/>
  <c r="F216" i="5" s="1"/>
  <c r="C217" i="5"/>
  <c r="D217" i="5" s="1"/>
  <c r="E217" i="5" s="1"/>
  <c r="F217" i="5" s="1"/>
  <c r="C218" i="5"/>
  <c r="D218" i="5" s="1"/>
  <c r="E218" i="5" s="1"/>
  <c r="F218" i="5" s="1"/>
  <c r="C219" i="5"/>
  <c r="D219" i="5" s="1"/>
  <c r="E219" i="5" s="1"/>
  <c r="F219" i="5" s="1"/>
  <c r="C220" i="5"/>
  <c r="D220" i="5" s="1"/>
  <c r="E220" i="5" s="1"/>
  <c r="F220" i="5" s="1"/>
  <c r="C221" i="5"/>
  <c r="D221" i="5" s="1"/>
  <c r="E221" i="5" s="1"/>
  <c r="F221" i="5" s="1"/>
  <c r="C222" i="5"/>
  <c r="D222" i="5" s="1"/>
  <c r="E222" i="5" s="1"/>
  <c r="F222" i="5" s="1"/>
  <c r="C223" i="5"/>
  <c r="D223" i="5" s="1"/>
  <c r="E223" i="5" s="1"/>
  <c r="F223" i="5" s="1"/>
  <c r="C224" i="5"/>
  <c r="D224" i="5" s="1"/>
  <c r="E224" i="5" s="1"/>
  <c r="F224" i="5" s="1"/>
  <c r="C225" i="5"/>
  <c r="D225" i="5" s="1"/>
  <c r="E225" i="5" s="1"/>
  <c r="F225" i="5" s="1"/>
  <c r="C226" i="5"/>
  <c r="D226" i="5" s="1"/>
  <c r="E226" i="5" s="1"/>
  <c r="F226" i="5" s="1"/>
  <c r="C227" i="5"/>
  <c r="D227" i="5" s="1"/>
  <c r="E227" i="5" s="1"/>
  <c r="F227" i="5" s="1"/>
  <c r="C228" i="5"/>
  <c r="D228" i="5" s="1"/>
  <c r="E228" i="5" s="1"/>
  <c r="F228" i="5" s="1"/>
  <c r="C229" i="5"/>
  <c r="D229" i="5" s="1"/>
  <c r="E229" i="5" s="1"/>
  <c r="F229" i="5" s="1"/>
  <c r="C230" i="5"/>
  <c r="D230" i="5" s="1"/>
  <c r="E230" i="5" s="1"/>
  <c r="F230" i="5" s="1"/>
  <c r="C231" i="5"/>
  <c r="D231" i="5" s="1"/>
  <c r="E231" i="5" s="1"/>
  <c r="F231" i="5" s="1"/>
  <c r="C232" i="5"/>
  <c r="D232" i="5" s="1"/>
  <c r="E232" i="5" s="1"/>
  <c r="F232" i="5" s="1"/>
  <c r="C233" i="5"/>
  <c r="D233" i="5" s="1"/>
  <c r="E233" i="5" s="1"/>
  <c r="F233" i="5" s="1"/>
  <c r="C234" i="5"/>
  <c r="D234" i="5" s="1"/>
  <c r="E234" i="5" s="1"/>
  <c r="F234" i="5" s="1"/>
  <c r="C235" i="5"/>
  <c r="D235" i="5" s="1"/>
  <c r="E235" i="5" s="1"/>
  <c r="F235" i="5" s="1"/>
  <c r="C236" i="5"/>
  <c r="D236" i="5" s="1"/>
  <c r="E236" i="5" s="1"/>
  <c r="F236" i="5" s="1"/>
  <c r="C237" i="5"/>
  <c r="D237" i="5" s="1"/>
  <c r="E237" i="5" s="1"/>
  <c r="F237" i="5" s="1"/>
  <c r="C238" i="5"/>
  <c r="D238" i="5" s="1"/>
  <c r="E238" i="5" s="1"/>
  <c r="F238" i="5" s="1"/>
  <c r="C239" i="5"/>
  <c r="D239" i="5" s="1"/>
  <c r="E239" i="5" s="1"/>
  <c r="F239" i="5" s="1"/>
  <c r="C240" i="5"/>
  <c r="D240" i="5" s="1"/>
  <c r="E240" i="5" s="1"/>
  <c r="F240" i="5" s="1"/>
  <c r="C241" i="5"/>
  <c r="D241" i="5" s="1"/>
  <c r="E241" i="5" s="1"/>
  <c r="F241" i="5" s="1"/>
  <c r="C242" i="5"/>
  <c r="D242" i="5" s="1"/>
  <c r="E242" i="5" s="1"/>
  <c r="F242" i="5" s="1"/>
  <c r="C243" i="5"/>
  <c r="D243" i="5" s="1"/>
  <c r="E243" i="5" s="1"/>
  <c r="F243" i="5" s="1"/>
  <c r="C244" i="5"/>
  <c r="D244" i="5" s="1"/>
  <c r="E244" i="5" s="1"/>
  <c r="F244" i="5" s="1"/>
  <c r="C245" i="5"/>
  <c r="D245" i="5" s="1"/>
  <c r="E245" i="5" s="1"/>
  <c r="F245" i="5" s="1"/>
  <c r="C246" i="5"/>
  <c r="D246" i="5" s="1"/>
  <c r="E246" i="5" s="1"/>
  <c r="F246" i="5" s="1"/>
  <c r="C247" i="5"/>
  <c r="D247" i="5" s="1"/>
  <c r="E247" i="5" s="1"/>
  <c r="F247" i="5" s="1"/>
  <c r="C248" i="5"/>
  <c r="D248" i="5" s="1"/>
  <c r="E248" i="5" s="1"/>
  <c r="F248" i="5" s="1"/>
  <c r="C249" i="5"/>
  <c r="D249" i="5" s="1"/>
  <c r="E249" i="5" s="1"/>
  <c r="F249" i="5" s="1"/>
  <c r="C250" i="5"/>
  <c r="D250" i="5" s="1"/>
  <c r="E250" i="5" s="1"/>
  <c r="F250" i="5" s="1"/>
  <c r="C251" i="5"/>
  <c r="D251" i="5" s="1"/>
  <c r="E251" i="5" s="1"/>
  <c r="F251" i="5" s="1"/>
  <c r="C252" i="5"/>
  <c r="D252" i="5" s="1"/>
  <c r="E252" i="5" s="1"/>
  <c r="F252" i="5" s="1"/>
  <c r="C253" i="5"/>
  <c r="D253" i="5" s="1"/>
  <c r="E253" i="5" s="1"/>
  <c r="F253" i="5" s="1"/>
  <c r="C254" i="5"/>
  <c r="D254" i="5" s="1"/>
  <c r="E254" i="5" s="1"/>
  <c r="F254" i="5" s="1"/>
  <c r="C255" i="5"/>
  <c r="D255" i="5" s="1"/>
  <c r="E255" i="5" s="1"/>
  <c r="F255" i="5" s="1"/>
  <c r="C256" i="5"/>
  <c r="D256" i="5" s="1"/>
  <c r="E256" i="5" s="1"/>
  <c r="F256" i="5" s="1"/>
  <c r="C257" i="5"/>
  <c r="D257" i="5" s="1"/>
  <c r="E257" i="5" s="1"/>
  <c r="F257" i="5" s="1"/>
  <c r="C258" i="5"/>
  <c r="D258" i="5" s="1"/>
  <c r="E258" i="5" s="1"/>
  <c r="F258" i="5" s="1"/>
  <c r="C259" i="5"/>
  <c r="D259" i="5" s="1"/>
  <c r="E259" i="5" s="1"/>
  <c r="F259" i="5" s="1"/>
  <c r="C260" i="5"/>
  <c r="D260" i="5" s="1"/>
  <c r="E260" i="5" s="1"/>
  <c r="F260" i="5" s="1"/>
  <c r="C261" i="5"/>
  <c r="D261" i="5" s="1"/>
  <c r="E261" i="5" s="1"/>
  <c r="F261" i="5" s="1"/>
  <c r="C262" i="5"/>
  <c r="D262" i="5" s="1"/>
  <c r="E262" i="5" s="1"/>
  <c r="F262" i="5" s="1"/>
  <c r="C263" i="5"/>
  <c r="D263" i="5" s="1"/>
  <c r="E263" i="5" s="1"/>
  <c r="F263" i="5" s="1"/>
  <c r="C264" i="5"/>
  <c r="D264" i="5" s="1"/>
  <c r="E264" i="5" s="1"/>
  <c r="F264" i="5" s="1"/>
  <c r="C265" i="5"/>
  <c r="D265" i="5" s="1"/>
  <c r="E265" i="5" s="1"/>
  <c r="F265" i="5" s="1"/>
  <c r="C266" i="5"/>
  <c r="D266" i="5" s="1"/>
  <c r="E266" i="5" s="1"/>
  <c r="F266" i="5" s="1"/>
  <c r="C267" i="5"/>
  <c r="D267" i="5" s="1"/>
  <c r="E267" i="5" s="1"/>
  <c r="F267" i="5" s="1"/>
  <c r="C268" i="5"/>
  <c r="D268" i="5" s="1"/>
  <c r="E268" i="5" s="1"/>
  <c r="F268" i="5" s="1"/>
  <c r="C269" i="5"/>
  <c r="D269" i="5" s="1"/>
  <c r="E269" i="5" s="1"/>
  <c r="F269" i="5" s="1"/>
  <c r="C270" i="5"/>
  <c r="D270" i="5" s="1"/>
  <c r="E270" i="5" s="1"/>
  <c r="F270" i="5" s="1"/>
  <c r="C271" i="5"/>
  <c r="D271" i="5" s="1"/>
  <c r="E271" i="5" s="1"/>
  <c r="F271" i="5" s="1"/>
  <c r="C272" i="5"/>
  <c r="D272" i="5" s="1"/>
  <c r="E272" i="5" s="1"/>
  <c r="F272" i="5" s="1"/>
  <c r="C273" i="5"/>
  <c r="D273" i="5" s="1"/>
  <c r="E273" i="5" s="1"/>
  <c r="F273" i="5" s="1"/>
  <c r="C274" i="5"/>
  <c r="D274" i="5" s="1"/>
  <c r="E274" i="5" s="1"/>
  <c r="F274" i="5" s="1"/>
  <c r="C275" i="5"/>
  <c r="D275" i="5" s="1"/>
  <c r="E275" i="5" s="1"/>
  <c r="F275" i="5" s="1"/>
  <c r="C276" i="5"/>
  <c r="D276" i="5" s="1"/>
  <c r="E276" i="5" s="1"/>
  <c r="F276" i="5" s="1"/>
  <c r="C277" i="5"/>
  <c r="D277" i="5" s="1"/>
  <c r="E277" i="5" s="1"/>
  <c r="F277" i="5" s="1"/>
  <c r="C278" i="5"/>
  <c r="D278" i="5" s="1"/>
  <c r="E278" i="5" s="1"/>
  <c r="F278" i="5" s="1"/>
  <c r="C279" i="5"/>
  <c r="D279" i="5" s="1"/>
  <c r="E279" i="5" s="1"/>
  <c r="F279" i="5" s="1"/>
  <c r="C280" i="5"/>
  <c r="D280" i="5" s="1"/>
  <c r="E280" i="5" s="1"/>
  <c r="F280" i="5" s="1"/>
  <c r="C281" i="5"/>
  <c r="D281" i="5" s="1"/>
  <c r="E281" i="5" s="1"/>
  <c r="F281" i="5" s="1"/>
  <c r="C282" i="5"/>
  <c r="D282" i="5" s="1"/>
  <c r="E282" i="5" s="1"/>
  <c r="F282" i="5" s="1"/>
  <c r="C283" i="5"/>
  <c r="D283" i="5" s="1"/>
  <c r="E283" i="5" s="1"/>
  <c r="F283" i="5" s="1"/>
  <c r="C284" i="5"/>
  <c r="D284" i="5" s="1"/>
  <c r="E284" i="5" s="1"/>
  <c r="F284" i="5" s="1"/>
  <c r="C285" i="5"/>
  <c r="D285" i="5" s="1"/>
  <c r="E285" i="5" s="1"/>
  <c r="F285" i="5" s="1"/>
  <c r="C286" i="5"/>
  <c r="D286" i="5" s="1"/>
  <c r="E286" i="5" s="1"/>
  <c r="F286" i="5" s="1"/>
  <c r="C287" i="5"/>
  <c r="D287" i="5" s="1"/>
  <c r="E287" i="5" s="1"/>
  <c r="F287" i="5" s="1"/>
  <c r="C288" i="5"/>
  <c r="D288" i="5" s="1"/>
  <c r="E288" i="5" s="1"/>
  <c r="F288" i="5" s="1"/>
  <c r="C289" i="5"/>
  <c r="D289" i="5" s="1"/>
  <c r="E289" i="5" s="1"/>
  <c r="F289" i="5" s="1"/>
  <c r="C290" i="5"/>
  <c r="D290" i="5" s="1"/>
  <c r="E290" i="5" s="1"/>
  <c r="F290" i="5" s="1"/>
  <c r="C291" i="5"/>
  <c r="D291" i="5" s="1"/>
  <c r="E291" i="5" s="1"/>
  <c r="F291" i="5" s="1"/>
  <c r="C292" i="5"/>
  <c r="D292" i="5" s="1"/>
  <c r="E292" i="5" s="1"/>
  <c r="F292" i="5" s="1"/>
  <c r="C293" i="5"/>
  <c r="D293" i="5" s="1"/>
  <c r="E293" i="5" s="1"/>
  <c r="F293" i="5" s="1"/>
  <c r="C294" i="5"/>
  <c r="D294" i="5" s="1"/>
  <c r="E294" i="5" s="1"/>
  <c r="F294" i="5" s="1"/>
  <c r="C295" i="5"/>
  <c r="D295" i="5" s="1"/>
  <c r="E295" i="5" s="1"/>
  <c r="F295" i="5" s="1"/>
  <c r="C296" i="5"/>
  <c r="D296" i="5" s="1"/>
  <c r="E296" i="5" s="1"/>
  <c r="F296" i="5" s="1"/>
  <c r="C297" i="5"/>
  <c r="D297" i="5" s="1"/>
  <c r="E297" i="5" s="1"/>
  <c r="F297" i="5" s="1"/>
  <c r="C298" i="5"/>
  <c r="D298" i="5" s="1"/>
  <c r="E298" i="5" s="1"/>
  <c r="F298" i="5" s="1"/>
  <c r="C299" i="5"/>
  <c r="D299" i="5" s="1"/>
  <c r="E299" i="5" s="1"/>
  <c r="F299" i="5" s="1"/>
  <c r="C300" i="5"/>
  <c r="D300" i="5" s="1"/>
  <c r="E300" i="5" s="1"/>
  <c r="F300" i="5" s="1"/>
  <c r="C301" i="5"/>
  <c r="D301" i="5" s="1"/>
  <c r="E301" i="5" s="1"/>
  <c r="F301" i="5" s="1"/>
  <c r="C302" i="5"/>
  <c r="D302" i="5" s="1"/>
  <c r="E302" i="5" s="1"/>
  <c r="F302" i="5" s="1"/>
  <c r="C303" i="5"/>
  <c r="D303" i="5" s="1"/>
  <c r="E303" i="5" s="1"/>
  <c r="F303" i="5" s="1"/>
  <c r="C304" i="5"/>
  <c r="D304" i="5" s="1"/>
  <c r="E304" i="5" s="1"/>
  <c r="F304" i="5" s="1"/>
  <c r="C305" i="5"/>
  <c r="D305" i="5" s="1"/>
  <c r="E305" i="5" s="1"/>
  <c r="F305" i="5" s="1"/>
  <c r="C306" i="5"/>
  <c r="D306" i="5" s="1"/>
  <c r="E306" i="5" s="1"/>
  <c r="F306" i="5" s="1"/>
  <c r="C307" i="5"/>
  <c r="D307" i="5" s="1"/>
  <c r="E307" i="5" s="1"/>
  <c r="F307" i="5" s="1"/>
  <c r="C308" i="5"/>
  <c r="D308" i="5" s="1"/>
  <c r="E308" i="5" s="1"/>
  <c r="F308" i="5" s="1"/>
  <c r="C309" i="5"/>
  <c r="D309" i="5" s="1"/>
  <c r="E309" i="5" s="1"/>
  <c r="F309" i="5" s="1"/>
  <c r="C310" i="5"/>
  <c r="D310" i="5" s="1"/>
  <c r="E310" i="5" s="1"/>
  <c r="F310" i="5" s="1"/>
  <c r="C311" i="5"/>
  <c r="D311" i="5" s="1"/>
  <c r="E311" i="5" s="1"/>
  <c r="F311" i="5" s="1"/>
  <c r="C312" i="5"/>
  <c r="D312" i="5" s="1"/>
  <c r="E312" i="5" s="1"/>
  <c r="F312" i="5" s="1"/>
  <c r="C313" i="5"/>
  <c r="D313" i="5" s="1"/>
  <c r="E313" i="5" s="1"/>
  <c r="F313" i="5" s="1"/>
  <c r="C314" i="5"/>
  <c r="D314" i="5" s="1"/>
  <c r="E314" i="5" s="1"/>
  <c r="F314" i="5" s="1"/>
  <c r="C315" i="5"/>
  <c r="D315" i="5" s="1"/>
  <c r="E315" i="5" s="1"/>
  <c r="F315" i="5" s="1"/>
  <c r="C316" i="5"/>
  <c r="D316" i="5" s="1"/>
  <c r="E316" i="5" s="1"/>
  <c r="F316" i="5" s="1"/>
  <c r="C317" i="5"/>
  <c r="D317" i="5" s="1"/>
  <c r="E317" i="5" s="1"/>
  <c r="F317" i="5" s="1"/>
  <c r="C318" i="5"/>
  <c r="D318" i="5" s="1"/>
  <c r="E318" i="5" s="1"/>
  <c r="F318" i="5" s="1"/>
  <c r="C319" i="5"/>
  <c r="D319" i="5" s="1"/>
  <c r="E319" i="5" s="1"/>
  <c r="F319" i="5" s="1"/>
  <c r="C320" i="5"/>
  <c r="D320" i="5" s="1"/>
  <c r="E320" i="5" s="1"/>
  <c r="F320" i="5" s="1"/>
  <c r="C321" i="5"/>
  <c r="D321" i="5" s="1"/>
  <c r="E321" i="5" s="1"/>
  <c r="F321" i="5" s="1"/>
  <c r="C322" i="5"/>
  <c r="D322" i="5" s="1"/>
  <c r="E322" i="5" s="1"/>
  <c r="F322" i="5" s="1"/>
  <c r="C323" i="5"/>
  <c r="D323" i="5" s="1"/>
  <c r="E323" i="5" s="1"/>
  <c r="F323" i="5" s="1"/>
  <c r="C324" i="5"/>
  <c r="D324" i="5" s="1"/>
  <c r="E324" i="5" s="1"/>
  <c r="F324" i="5" s="1"/>
  <c r="C325" i="5"/>
  <c r="D325" i="5" s="1"/>
  <c r="E325" i="5" s="1"/>
  <c r="F325" i="5" s="1"/>
  <c r="C326" i="5"/>
  <c r="D326" i="5" s="1"/>
  <c r="E326" i="5" s="1"/>
  <c r="F326" i="5" s="1"/>
  <c r="C327" i="5"/>
  <c r="D327" i="5" s="1"/>
  <c r="E327" i="5" s="1"/>
  <c r="F327" i="5" s="1"/>
  <c r="C328" i="5"/>
  <c r="D328" i="5" s="1"/>
  <c r="E328" i="5" s="1"/>
  <c r="F328" i="5" s="1"/>
  <c r="C329" i="5"/>
  <c r="D329" i="5" s="1"/>
  <c r="E329" i="5" s="1"/>
  <c r="F329" i="5" s="1"/>
  <c r="C330" i="5"/>
  <c r="D330" i="5" s="1"/>
  <c r="E330" i="5" s="1"/>
  <c r="F330" i="5" s="1"/>
  <c r="C331" i="5"/>
  <c r="D331" i="5" s="1"/>
  <c r="E331" i="5" s="1"/>
  <c r="F331" i="5" s="1"/>
  <c r="C332" i="5"/>
  <c r="D332" i="5" s="1"/>
  <c r="E332" i="5" s="1"/>
  <c r="F332" i="5" s="1"/>
  <c r="C333" i="5"/>
  <c r="D333" i="5" s="1"/>
  <c r="E333" i="5" s="1"/>
  <c r="F333" i="5" s="1"/>
  <c r="C334" i="5"/>
  <c r="D334" i="5" s="1"/>
  <c r="E334" i="5" s="1"/>
  <c r="F334" i="5" s="1"/>
  <c r="C335" i="5"/>
  <c r="D335" i="5" s="1"/>
  <c r="E335" i="5" s="1"/>
  <c r="F335" i="5" s="1"/>
  <c r="C336" i="5"/>
  <c r="D336" i="5" s="1"/>
  <c r="E336" i="5" s="1"/>
  <c r="F336" i="5" s="1"/>
  <c r="C337" i="5"/>
  <c r="D337" i="5" s="1"/>
  <c r="E337" i="5" s="1"/>
  <c r="F337" i="5" s="1"/>
  <c r="C338" i="5"/>
  <c r="D338" i="5" s="1"/>
  <c r="E338" i="5" s="1"/>
  <c r="F338" i="5" s="1"/>
  <c r="C339" i="5"/>
  <c r="D339" i="5" s="1"/>
  <c r="E339" i="5" s="1"/>
  <c r="F339" i="5" s="1"/>
  <c r="C340" i="5"/>
  <c r="D340" i="5" s="1"/>
  <c r="E340" i="5" s="1"/>
  <c r="F340" i="5" s="1"/>
  <c r="C341" i="5"/>
  <c r="D341" i="5" s="1"/>
  <c r="E341" i="5" s="1"/>
  <c r="F341" i="5" s="1"/>
  <c r="C342" i="5"/>
  <c r="D342" i="5" s="1"/>
  <c r="E342" i="5" s="1"/>
  <c r="F342" i="5" s="1"/>
  <c r="C343" i="5"/>
  <c r="D343" i="5" s="1"/>
  <c r="E343" i="5" s="1"/>
  <c r="F343" i="5" s="1"/>
  <c r="C344" i="5"/>
  <c r="D344" i="5" s="1"/>
  <c r="E344" i="5" s="1"/>
  <c r="F344" i="5" s="1"/>
  <c r="C345" i="5"/>
  <c r="D345" i="5" s="1"/>
  <c r="E345" i="5" s="1"/>
  <c r="F345" i="5" s="1"/>
  <c r="C346" i="5"/>
  <c r="D346" i="5" s="1"/>
  <c r="E346" i="5" s="1"/>
  <c r="F346" i="5" s="1"/>
  <c r="C347" i="5"/>
  <c r="D347" i="5" s="1"/>
  <c r="E347" i="5" s="1"/>
  <c r="F347" i="5" s="1"/>
  <c r="C348" i="5"/>
  <c r="D348" i="5" s="1"/>
  <c r="E348" i="5" s="1"/>
  <c r="F348" i="5" s="1"/>
  <c r="C349" i="5"/>
  <c r="D349" i="5" s="1"/>
  <c r="E349" i="5" s="1"/>
  <c r="F349" i="5" s="1"/>
  <c r="C350" i="5"/>
  <c r="D350" i="5" s="1"/>
  <c r="E350" i="5" s="1"/>
  <c r="F350" i="5" s="1"/>
  <c r="C351" i="5"/>
  <c r="D351" i="5" s="1"/>
  <c r="E351" i="5" s="1"/>
  <c r="F351" i="5" s="1"/>
  <c r="C352" i="5"/>
  <c r="D352" i="5" s="1"/>
  <c r="E352" i="5" s="1"/>
  <c r="F352" i="5" s="1"/>
  <c r="C353" i="5"/>
  <c r="D353" i="5" s="1"/>
  <c r="E353" i="5" s="1"/>
  <c r="F353" i="5" s="1"/>
  <c r="C354" i="5"/>
  <c r="D354" i="5" s="1"/>
  <c r="E354" i="5" s="1"/>
  <c r="F354" i="5" s="1"/>
  <c r="C355" i="5"/>
  <c r="D355" i="5" s="1"/>
  <c r="E355" i="5" s="1"/>
  <c r="F355" i="5" s="1"/>
  <c r="C356" i="5"/>
  <c r="D356" i="5" s="1"/>
  <c r="E356" i="5" s="1"/>
  <c r="F356" i="5" s="1"/>
  <c r="C357" i="5"/>
  <c r="D357" i="5" s="1"/>
  <c r="E357" i="5" s="1"/>
  <c r="F357" i="5" s="1"/>
  <c r="C358" i="5"/>
  <c r="D358" i="5" s="1"/>
  <c r="E358" i="5" s="1"/>
  <c r="F358" i="5" s="1"/>
  <c r="C359" i="5"/>
  <c r="D359" i="5" s="1"/>
  <c r="E359" i="5" s="1"/>
  <c r="F359" i="5" s="1"/>
  <c r="C360" i="5"/>
  <c r="D360" i="5" s="1"/>
  <c r="E360" i="5" s="1"/>
  <c r="F360" i="5" s="1"/>
  <c r="C361" i="5"/>
  <c r="D361" i="5" s="1"/>
  <c r="E361" i="5" s="1"/>
  <c r="F361" i="5" s="1"/>
  <c r="C362" i="5"/>
  <c r="D362" i="5" s="1"/>
  <c r="E362" i="5" s="1"/>
  <c r="F362" i="5" s="1"/>
  <c r="C363" i="5"/>
  <c r="D363" i="5" s="1"/>
  <c r="E363" i="5" s="1"/>
  <c r="F363" i="5" s="1"/>
  <c r="C364" i="5"/>
  <c r="D364" i="5" s="1"/>
  <c r="E364" i="5" s="1"/>
  <c r="F364" i="5" s="1"/>
  <c r="C365" i="5"/>
  <c r="D365" i="5" s="1"/>
  <c r="E365" i="5" s="1"/>
  <c r="F365" i="5" s="1"/>
  <c r="C366" i="5"/>
  <c r="D366" i="5" s="1"/>
  <c r="E366" i="5" s="1"/>
  <c r="F366" i="5" s="1"/>
  <c r="C367" i="5"/>
  <c r="D367" i="5" s="1"/>
  <c r="E367" i="5" s="1"/>
  <c r="F367" i="5" s="1"/>
  <c r="C368" i="5"/>
  <c r="D368" i="5" s="1"/>
  <c r="E368" i="5" s="1"/>
  <c r="F368" i="5" s="1"/>
  <c r="C369" i="5"/>
  <c r="D369" i="5" s="1"/>
  <c r="E369" i="5" s="1"/>
  <c r="F369" i="5" s="1"/>
  <c r="C370" i="5"/>
  <c r="D370" i="5" s="1"/>
  <c r="E370" i="5" s="1"/>
  <c r="F370" i="5" s="1"/>
  <c r="C371" i="5"/>
  <c r="D371" i="5" s="1"/>
  <c r="E371" i="5" s="1"/>
  <c r="F371" i="5" s="1"/>
  <c r="C372" i="5"/>
  <c r="D372" i="5" s="1"/>
  <c r="E372" i="5" s="1"/>
  <c r="F372" i="5" s="1"/>
  <c r="C373" i="5"/>
  <c r="D373" i="5" s="1"/>
  <c r="E373" i="5" s="1"/>
  <c r="F373" i="5" s="1"/>
  <c r="C374" i="5"/>
  <c r="D374" i="5" s="1"/>
  <c r="E374" i="5" s="1"/>
  <c r="F374" i="5" s="1"/>
  <c r="C375" i="5"/>
  <c r="D375" i="5" s="1"/>
  <c r="E375" i="5" s="1"/>
  <c r="F375" i="5" s="1"/>
  <c r="C376" i="5"/>
  <c r="D376" i="5" s="1"/>
  <c r="E376" i="5" s="1"/>
  <c r="F376" i="5" s="1"/>
  <c r="C377" i="5"/>
  <c r="D377" i="5" s="1"/>
  <c r="E377" i="5" s="1"/>
  <c r="F377" i="5" s="1"/>
  <c r="C378" i="5"/>
  <c r="D378" i="5" s="1"/>
  <c r="E378" i="5" s="1"/>
  <c r="F378" i="5" s="1"/>
  <c r="C379" i="5"/>
  <c r="D379" i="5" s="1"/>
  <c r="E379" i="5" s="1"/>
  <c r="F379" i="5" s="1"/>
  <c r="C380" i="5"/>
  <c r="D380" i="5" s="1"/>
  <c r="E380" i="5" s="1"/>
  <c r="F380" i="5" s="1"/>
  <c r="C381" i="5"/>
  <c r="D381" i="5" s="1"/>
  <c r="E381" i="5" s="1"/>
  <c r="F381" i="5" s="1"/>
  <c r="C382" i="5"/>
  <c r="D382" i="5" s="1"/>
  <c r="E382" i="5" s="1"/>
  <c r="F382" i="5" s="1"/>
  <c r="C383" i="5"/>
  <c r="D383" i="5" s="1"/>
  <c r="E383" i="5" s="1"/>
  <c r="F383" i="5" s="1"/>
  <c r="C384" i="5"/>
  <c r="D384" i="5" s="1"/>
  <c r="E384" i="5" s="1"/>
  <c r="F384" i="5" s="1"/>
  <c r="C385" i="5"/>
  <c r="D385" i="5" s="1"/>
  <c r="E385" i="5" s="1"/>
  <c r="F385" i="5" s="1"/>
  <c r="C386" i="5"/>
  <c r="D386" i="5" s="1"/>
  <c r="E386" i="5" s="1"/>
  <c r="F386" i="5" s="1"/>
  <c r="C387" i="5"/>
  <c r="D387" i="5" s="1"/>
  <c r="E387" i="5" s="1"/>
  <c r="F387" i="5" s="1"/>
  <c r="C388" i="5"/>
  <c r="D388" i="5" s="1"/>
  <c r="E388" i="5" s="1"/>
  <c r="F388" i="5" s="1"/>
  <c r="C389" i="5"/>
  <c r="D389" i="5" s="1"/>
  <c r="E389" i="5" s="1"/>
  <c r="F389" i="5" s="1"/>
  <c r="C390" i="5"/>
  <c r="D390" i="5" s="1"/>
  <c r="E390" i="5" s="1"/>
  <c r="F390" i="5" s="1"/>
  <c r="C391" i="5"/>
  <c r="D391" i="5" s="1"/>
  <c r="E391" i="5" s="1"/>
  <c r="F391" i="5" s="1"/>
  <c r="C392" i="5"/>
  <c r="D392" i="5" s="1"/>
  <c r="E392" i="5" s="1"/>
  <c r="F392" i="5" s="1"/>
  <c r="C393" i="5"/>
  <c r="D393" i="5" s="1"/>
  <c r="E393" i="5" s="1"/>
  <c r="F393" i="5" s="1"/>
  <c r="C394" i="5"/>
  <c r="D394" i="5" s="1"/>
  <c r="E394" i="5" s="1"/>
  <c r="F394" i="5" s="1"/>
  <c r="C395" i="5"/>
  <c r="D395" i="5" s="1"/>
  <c r="E395" i="5" s="1"/>
  <c r="F395" i="5" s="1"/>
  <c r="C396" i="5"/>
  <c r="D396" i="5" s="1"/>
  <c r="E396" i="5" s="1"/>
  <c r="F396" i="5" s="1"/>
  <c r="C397" i="5"/>
  <c r="D397" i="5" s="1"/>
  <c r="E397" i="5" s="1"/>
  <c r="F397" i="5" s="1"/>
  <c r="C398" i="5"/>
  <c r="D398" i="5" s="1"/>
  <c r="E398" i="5" s="1"/>
  <c r="F398" i="5" s="1"/>
  <c r="C399" i="5"/>
  <c r="D399" i="5" s="1"/>
  <c r="E399" i="5" s="1"/>
  <c r="F399" i="5" s="1"/>
  <c r="C400" i="5"/>
  <c r="D400" i="5" s="1"/>
  <c r="E400" i="5" s="1"/>
  <c r="F400" i="5" s="1"/>
  <c r="C401" i="5"/>
  <c r="D401" i="5" s="1"/>
  <c r="E401" i="5" s="1"/>
  <c r="F401" i="5" s="1"/>
  <c r="C402" i="5"/>
  <c r="D402" i="5" s="1"/>
  <c r="E402" i="5" s="1"/>
  <c r="F402" i="5" s="1"/>
  <c r="C403" i="5"/>
  <c r="D403" i="5" s="1"/>
  <c r="E403" i="5" s="1"/>
  <c r="F403" i="5" s="1"/>
  <c r="C404" i="5"/>
  <c r="D404" i="5" s="1"/>
  <c r="E404" i="5" s="1"/>
  <c r="F404" i="5" s="1"/>
  <c r="C405" i="5"/>
  <c r="D405" i="5" s="1"/>
  <c r="E405" i="5" s="1"/>
  <c r="F405" i="5" s="1"/>
  <c r="C406" i="5"/>
  <c r="D406" i="5" s="1"/>
  <c r="E406" i="5" s="1"/>
  <c r="F406" i="5" s="1"/>
  <c r="C407" i="5"/>
  <c r="D407" i="5" s="1"/>
  <c r="E407" i="5" s="1"/>
  <c r="F407" i="5" s="1"/>
  <c r="C408" i="5"/>
  <c r="D408" i="5" s="1"/>
  <c r="E408" i="5" s="1"/>
  <c r="F408" i="5" s="1"/>
  <c r="C409" i="5"/>
  <c r="D409" i="5" s="1"/>
  <c r="E409" i="5" s="1"/>
  <c r="F409" i="5" s="1"/>
  <c r="C410" i="5"/>
  <c r="D410" i="5" s="1"/>
  <c r="E410" i="5" s="1"/>
  <c r="F410" i="5" s="1"/>
  <c r="C411" i="5"/>
  <c r="D411" i="5" s="1"/>
  <c r="E411" i="5" s="1"/>
  <c r="F411" i="5" s="1"/>
  <c r="C412" i="5"/>
  <c r="D412" i="5" s="1"/>
  <c r="E412" i="5" s="1"/>
  <c r="F412" i="5" s="1"/>
  <c r="C413" i="5"/>
  <c r="D413" i="5" s="1"/>
  <c r="E413" i="5" s="1"/>
  <c r="F413" i="5" s="1"/>
  <c r="C414" i="5"/>
  <c r="D414" i="5" s="1"/>
  <c r="E414" i="5" s="1"/>
  <c r="F414" i="5" s="1"/>
  <c r="C415" i="5"/>
  <c r="D415" i="5" s="1"/>
  <c r="E415" i="5" s="1"/>
  <c r="F415" i="5" s="1"/>
  <c r="C416" i="5"/>
  <c r="D416" i="5" s="1"/>
  <c r="E416" i="5" s="1"/>
  <c r="F416" i="5" s="1"/>
  <c r="C417" i="5"/>
  <c r="D417" i="5" s="1"/>
  <c r="E417" i="5" s="1"/>
  <c r="F417" i="5" s="1"/>
  <c r="C418" i="5"/>
  <c r="D418" i="5" s="1"/>
  <c r="E418" i="5" s="1"/>
  <c r="F418" i="5" s="1"/>
  <c r="C419" i="5"/>
  <c r="D419" i="5" s="1"/>
  <c r="E419" i="5" s="1"/>
  <c r="F419" i="5" s="1"/>
  <c r="C420" i="5"/>
  <c r="D420" i="5" s="1"/>
  <c r="E420" i="5" s="1"/>
  <c r="F420" i="5" s="1"/>
  <c r="C421" i="5"/>
  <c r="D421" i="5" s="1"/>
  <c r="E421" i="5" s="1"/>
  <c r="F421" i="5" s="1"/>
  <c r="C422" i="5"/>
  <c r="D422" i="5" s="1"/>
  <c r="E422" i="5" s="1"/>
  <c r="F422" i="5" s="1"/>
  <c r="C423" i="5"/>
  <c r="D423" i="5" s="1"/>
  <c r="E423" i="5" s="1"/>
  <c r="F423" i="5" s="1"/>
  <c r="C424" i="5"/>
  <c r="D424" i="5" s="1"/>
  <c r="E424" i="5" s="1"/>
  <c r="F424" i="5" s="1"/>
  <c r="C425" i="5"/>
  <c r="D425" i="5" s="1"/>
  <c r="E425" i="5" s="1"/>
  <c r="F425" i="5" s="1"/>
  <c r="C426" i="5"/>
  <c r="D426" i="5" s="1"/>
  <c r="E426" i="5" s="1"/>
  <c r="F426" i="5" s="1"/>
  <c r="C427" i="5"/>
  <c r="D427" i="5" s="1"/>
  <c r="E427" i="5" s="1"/>
  <c r="F427" i="5" s="1"/>
  <c r="C428" i="5"/>
  <c r="D428" i="5" s="1"/>
  <c r="E428" i="5" s="1"/>
  <c r="F428" i="5" s="1"/>
  <c r="C429" i="5"/>
  <c r="D429" i="5" s="1"/>
  <c r="E429" i="5" s="1"/>
  <c r="F429" i="5" s="1"/>
  <c r="C430" i="5"/>
  <c r="D430" i="5" s="1"/>
  <c r="E430" i="5" s="1"/>
  <c r="F430" i="5" s="1"/>
  <c r="C431" i="5"/>
  <c r="D431" i="5" s="1"/>
  <c r="E431" i="5" s="1"/>
  <c r="F431" i="5" s="1"/>
  <c r="C432" i="5"/>
  <c r="D432" i="5" s="1"/>
  <c r="E432" i="5" s="1"/>
  <c r="F432" i="5" s="1"/>
  <c r="C433" i="5"/>
  <c r="D433" i="5" s="1"/>
  <c r="E433" i="5" s="1"/>
  <c r="F433" i="5" s="1"/>
  <c r="C434" i="5"/>
  <c r="D434" i="5" s="1"/>
  <c r="E434" i="5" s="1"/>
  <c r="F434" i="5" s="1"/>
  <c r="C435" i="5"/>
  <c r="D435" i="5" s="1"/>
  <c r="E435" i="5" s="1"/>
  <c r="F435" i="5" s="1"/>
  <c r="C436" i="5"/>
  <c r="D436" i="5" s="1"/>
  <c r="E436" i="5" s="1"/>
  <c r="F436" i="5" s="1"/>
  <c r="C437" i="5"/>
  <c r="D437" i="5" s="1"/>
  <c r="E437" i="5" s="1"/>
  <c r="F437" i="5" s="1"/>
  <c r="C438" i="5"/>
  <c r="D438" i="5" s="1"/>
  <c r="E438" i="5" s="1"/>
  <c r="F438" i="5" s="1"/>
  <c r="C439" i="5"/>
  <c r="D439" i="5" s="1"/>
  <c r="E439" i="5" s="1"/>
  <c r="F439" i="5" s="1"/>
  <c r="C440" i="5"/>
  <c r="D440" i="5" s="1"/>
  <c r="E440" i="5" s="1"/>
  <c r="F440" i="5" s="1"/>
  <c r="C441" i="5"/>
  <c r="D441" i="5" s="1"/>
  <c r="E441" i="5" s="1"/>
  <c r="F441" i="5" s="1"/>
  <c r="C442" i="5"/>
  <c r="D442" i="5" s="1"/>
  <c r="E442" i="5" s="1"/>
  <c r="F442" i="5" s="1"/>
  <c r="C443" i="5"/>
  <c r="D443" i="5" s="1"/>
  <c r="E443" i="5" s="1"/>
  <c r="F443" i="5" s="1"/>
  <c r="C444" i="5"/>
  <c r="D444" i="5" s="1"/>
  <c r="E444" i="5" s="1"/>
  <c r="F444" i="5" s="1"/>
  <c r="C445" i="5"/>
  <c r="D445" i="5" s="1"/>
  <c r="E445" i="5" s="1"/>
  <c r="F445" i="5" s="1"/>
  <c r="C446" i="5"/>
  <c r="D446" i="5" s="1"/>
  <c r="E446" i="5" s="1"/>
  <c r="F446" i="5" s="1"/>
  <c r="C447" i="5"/>
  <c r="D447" i="5" s="1"/>
  <c r="E447" i="5" s="1"/>
  <c r="F447" i="5" s="1"/>
  <c r="C448" i="5"/>
  <c r="D448" i="5" s="1"/>
  <c r="E448" i="5" s="1"/>
  <c r="F448" i="5" s="1"/>
  <c r="C449" i="5"/>
  <c r="D449" i="5" s="1"/>
  <c r="E449" i="5" s="1"/>
  <c r="F449" i="5" s="1"/>
  <c r="C450" i="5"/>
  <c r="D450" i="5" s="1"/>
  <c r="E450" i="5" s="1"/>
  <c r="F450" i="5" s="1"/>
  <c r="C451" i="5"/>
  <c r="D451" i="5" s="1"/>
  <c r="E451" i="5" s="1"/>
  <c r="F451" i="5" s="1"/>
  <c r="C452" i="5"/>
  <c r="D452" i="5" s="1"/>
  <c r="E452" i="5" s="1"/>
  <c r="F452" i="5" s="1"/>
  <c r="C453" i="5"/>
  <c r="D453" i="5" s="1"/>
  <c r="E453" i="5" s="1"/>
  <c r="F453" i="5" s="1"/>
  <c r="C454" i="5"/>
  <c r="D454" i="5" s="1"/>
  <c r="E454" i="5" s="1"/>
  <c r="F454" i="5" s="1"/>
  <c r="C455" i="5"/>
  <c r="D455" i="5" s="1"/>
  <c r="E455" i="5" s="1"/>
  <c r="F455" i="5" s="1"/>
  <c r="C456" i="5"/>
  <c r="D456" i="5" s="1"/>
  <c r="E456" i="5" s="1"/>
  <c r="F456" i="5" s="1"/>
  <c r="C457" i="5"/>
  <c r="D457" i="5" s="1"/>
  <c r="E457" i="5" s="1"/>
  <c r="F457" i="5" s="1"/>
  <c r="C458" i="5"/>
  <c r="D458" i="5" s="1"/>
  <c r="E458" i="5" s="1"/>
  <c r="F458" i="5" s="1"/>
  <c r="C459" i="5"/>
  <c r="D459" i="5" s="1"/>
  <c r="E459" i="5" s="1"/>
  <c r="F459" i="5" s="1"/>
  <c r="C460" i="5"/>
  <c r="D460" i="5" s="1"/>
  <c r="E460" i="5" s="1"/>
  <c r="F460" i="5" s="1"/>
  <c r="C461" i="5"/>
  <c r="D461" i="5" s="1"/>
  <c r="E461" i="5" s="1"/>
  <c r="F461" i="5" s="1"/>
  <c r="C462" i="5"/>
  <c r="D462" i="5" s="1"/>
  <c r="E462" i="5" s="1"/>
  <c r="F462" i="5" s="1"/>
  <c r="C463" i="5"/>
  <c r="D463" i="5" s="1"/>
  <c r="E463" i="5" s="1"/>
  <c r="F463" i="5" s="1"/>
  <c r="C464" i="5"/>
  <c r="D464" i="5" s="1"/>
  <c r="E464" i="5" s="1"/>
  <c r="F464" i="5" s="1"/>
  <c r="C465" i="5"/>
  <c r="D465" i="5" s="1"/>
  <c r="E465" i="5" s="1"/>
  <c r="F465" i="5" s="1"/>
  <c r="C466" i="5"/>
  <c r="D466" i="5" s="1"/>
  <c r="E466" i="5" s="1"/>
  <c r="F466" i="5" s="1"/>
  <c r="C467" i="5"/>
  <c r="D467" i="5" s="1"/>
  <c r="E467" i="5" s="1"/>
  <c r="F467" i="5" s="1"/>
  <c r="C468" i="5"/>
  <c r="D468" i="5" s="1"/>
  <c r="E468" i="5" s="1"/>
  <c r="F468" i="5" s="1"/>
  <c r="C469" i="5"/>
  <c r="D469" i="5" s="1"/>
  <c r="E469" i="5" s="1"/>
  <c r="F469" i="5" s="1"/>
  <c r="C470" i="5"/>
  <c r="D470" i="5" s="1"/>
  <c r="E470" i="5" s="1"/>
  <c r="F470" i="5" s="1"/>
  <c r="C471" i="5"/>
  <c r="D471" i="5" s="1"/>
  <c r="E471" i="5" s="1"/>
  <c r="F471" i="5" s="1"/>
  <c r="C472" i="5"/>
  <c r="D472" i="5" s="1"/>
  <c r="E472" i="5" s="1"/>
  <c r="F472" i="5" s="1"/>
  <c r="C473" i="5"/>
  <c r="D473" i="5" s="1"/>
  <c r="E473" i="5" s="1"/>
  <c r="F473" i="5" s="1"/>
  <c r="C474" i="5"/>
  <c r="D474" i="5" s="1"/>
  <c r="E474" i="5" s="1"/>
  <c r="F474" i="5" s="1"/>
  <c r="C475" i="5"/>
  <c r="D475" i="5" s="1"/>
  <c r="E475" i="5" s="1"/>
  <c r="F475" i="5" s="1"/>
  <c r="C476" i="5"/>
  <c r="D476" i="5" s="1"/>
  <c r="E476" i="5" s="1"/>
  <c r="F476" i="5" s="1"/>
  <c r="C477" i="5"/>
  <c r="D477" i="5" s="1"/>
  <c r="E477" i="5" s="1"/>
  <c r="F477" i="5" s="1"/>
  <c r="C478" i="5"/>
  <c r="D478" i="5" s="1"/>
  <c r="E478" i="5" s="1"/>
  <c r="F478" i="5" s="1"/>
  <c r="C479" i="5"/>
  <c r="D479" i="5" s="1"/>
  <c r="E479" i="5" s="1"/>
  <c r="F479" i="5" s="1"/>
  <c r="C480" i="5"/>
  <c r="D480" i="5" s="1"/>
  <c r="E480" i="5" s="1"/>
  <c r="F480" i="5" s="1"/>
  <c r="C481" i="5"/>
  <c r="D481" i="5" s="1"/>
  <c r="E481" i="5" s="1"/>
  <c r="F481" i="5" s="1"/>
  <c r="C482" i="5"/>
  <c r="D482" i="5" s="1"/>
  <c r="E482" i="5" s="1"/>
  <c r="F482" i="5" s="1"/>
  <c r="C483" i="5"/>
  <c r="D483" i="5" s="1"/>
  <c r="E483" i="5" s="1"/>
  <c r="F483" i="5" s="1"/>
  <c r="C484" i="5"/>
  <c r="D484" i="5" s="1"/>
  <c r="E484" i="5" s="1"/>
  <c r="F484" i="5" s="1"/>
  <c r="C485" i="5"/>
  <c r="D485" i="5" s="1"/>
  <c r="E485" i="5" s="1"/>
  <c r="F485" i="5" s="1"/>
  <c r="C486" i="5"/>
  <c r="D486" i="5" s="1"/>
  <c r="E486" i="5" s="1"/>
  <c r="F486" i="5" s="1"/>
  <c r="C487" i="5"/>
  <c r="D487" i="5" s="1"/>
  <c r="E487" i="5" s="1"/>
  <c r="F487" i="5" s="1"/>
  <c r="C488" i="5"/>
  <c r="D488" i="5" s="1"/>
  <c r="E488" i="5" s="1"/>
  <c r="F488" i="5" s="1"/>
  <c r="C489" i="5"/>
  <c r="D489" i="5" s="1"/>
  <c r="E489" i="5" s="1"/>
  <c r="F489" i="5" s="1"/>
  <c r="C490" i="5"/>
  <c r="D490" i="5" s="1"/>
  <c r="E490" i="5" s="1"/>
  <c r="F490" i="5" s="1"/>
  <c r="C491" i="5"/>
  <c r="D491" i="5" s="1"/>
  <c r="E491" i="5" s="1"/>
  <c r="F491" i="5" s="1"/>
  <c r="C492" i="5"/>
  <c r="D492" i="5" s="1"/>
  <c r="E492" i="5" s="1"/>
  <c r="F492" i="5" s="1"/>
  <c r="C493" i="5"/>
  <c r="D493" i="5" s="1"/>
  <c r="E493" i="5" s="1"/>
  <c r="F493" i="5" s="1"/>
  <c r="C494" i="5"/>
  <c r="D494" i="5" s="1"/>
  <c r="E494" i="5" s="1"/>
  <c r="F494" i="5" s="1"/>
  <c r="C495" i="5"/>
  <c r="D495" i="5" s="1"/>
  <c r="E495" i="5" s="1"/>
  <c r="F495" i="5" s="1"/>
  <c r="C496" i="5"/>
  <c r="D496" i="5" s="1"/>
  <c r="E496" i="5" s="1"/>
  <c r="F496" i="5" s="1"/>
  <c r="C497" i="5"/>
  <c r="D497" i="5" s="1"/>
  <c r="E497" i="5" s="1"/>
  <c r="F497" i="5" s="1"/>
  <c r="C498" i="5"/>
  <c r="D498" i="5" s="1"/>
  <c r="E498" i="5" s="1"/>
  <c r="F498" i="5" s="1"/>
  <c r="C499" i="5"/>
  <c r="D499" i="5" s="1"/>
  <c r="E499" i="5" s="1"/>
  <c r="F499" i="5" s="1"/>
  <c r="C500" i="5"/>
  <c r="D500" i="5" s="1"/>
  <c r="E500" i="5" s="1"/>
  <c r="F500" i="5" s="1"/>
  <c r="C501" i="5"/>
  <c r="D501" i="5" s="1"/>
  <c r="E501" i="5" s="1"/>
  <c r="F501" i="5" s="1"/>
  <c r="I11" i="5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Kick Data" description="Connection to the 'Kick Data' query in the workbook." type="5" refreshedVersion="6" background="1" saveData="1">
    <dbPr connection="Provider=Microsoft.Mashup.OleDb.1;Data Source=$Workbook$;Location=Kick Data;Extended Properties=&quot;&quot;" command="SELECT * FROM [Kick Data]"/>
  </connection>
</connections>
</file>

<file path=xl/sharedStrings.xml><?xml version="1.0" encoding="utf-8"?>
<sst xmlns="http://schemas.openxmlformats.org/spreadsheetml/2006/main" count="42" uniqueCount="33">
  <si>
    <t>Distance</t>
  </si>
  <si>
    <t>Coefficients</t>
  </si>
  <si>
    <t>Make or mIss</t>
  </si>
  <si>
    <t>a</t>
  </si>
  <si>
    <t>b</t>
  </si>
  <si>
    <t>Logit</t>
  </si>
  <si>
    <t>e^L</t>
  </si>
  <si>
    <t>Prob</t>
  </si>
  <si>
    <t>CondProb</t>
  </si>
  <si>
    <t>Log Likelyhood</t>
  </si>
  <si>
    <t>Yards Gained</t>
  </si>
  <si>
    <t>Interceptions</t>
  </si>
  <si>
    <t>25 to 40</t>
  </si>
  <si>
    <t>41 to 65</t>
  </si>
  <si>
    <t>2014 to 2017 Seasons</t>
  </si>
  <si>
    <t>11 to 13</t>
  </si>
  <si>
    <t>14 to 17</t>
  </si>
  <si>
    <t>18 to 24</t>
  </si>
  <si>
    <t>66 to 100</t>
  </si>
  <si>
    <t>Pass</t>
  </si>
  <si>
    <t>Rush</t>
  </si>
  <si>
    <t>Fumbles</t>
  </si>
  <si>
    <t>https://www.pro-football-reference.com/play-index/play_finder.cgi?request=1&amp;match=summary_all&amp;year_min=2014&amp;year_max=2017&amp;game_type=E&amp;game_num_min=0&amp;game_num_max=99&amp;week_num_min=0&amp;week_num_max=99&amp;quarter%5B%5D=1&amp;quarter%5B%5D=2&amp;quarter%5B%5D=3&amp;quarter%5B%5D=4&amp;quarter%5B%5D=5&amp;tr_gtlt=lt&amp;minutes=15&amp;seconds=0&amp;down%5B%5D=1&amp;yds_to_go_min=10&amp;yds_to_go_max=10&amp;yards_min=66&amp;yards_max=100&amp;field_pos_min_field=team&amp;field_pos_max_field=team&amp;end_field_pos_min_field=team&amp;end_field_pos_max_field=team&amp;type%5B%5D=RUSH&amp;no_play=N&amp;turnover_type%5B%5D=interception&amp;turnover_type%5B%5D=fumble&amp;score_type%5B%5D=touchdown&amp;score_type%5B%5D=field_goal&amp;score_type%5B%5D=safety&amp;rush_direction%5B%5D=LE&amp;rush_direction%5B%5D=LT&amp;rush_direction%5B%5D=LG&amp;rush_direction%5B%5D=M&amp;rush_direction%5B%5D=RG&amp;rush_direction%5B%5D=RT&amp;rush_direction%5B%5D=RE&amp;pass_location%5B%5D=SL&amp;pass_location%5B%5D=SM&amp;pass_location%5B%5D=SR&amp;pass_location%5B%5D=DL&amp;pass_location%5B%5D=DM&amp;pass_location%5B%5D=DR&amp;order_by=yards</t>
  </si>
  <si>
    <t>e^Logit</t>
  </si>
  <si>
    <t>Prob FG Good</t>
  </si>
  <si>
    <t>Yard line</t>
  </si>
  <si>
    <t>-100 to -11</t>
  </si>
  <si>
    <t>-10 to -6</t>
  </si>
  <si>
    <t>-5 to -1</t>
  </si>
  <si>
    <t>Plays</t>
  </si>
  <si>
    <t>Success</t>
  </si>
  <si>
    <t>Rush plays</t>
  </si>
  <si>
    <t>Pass Plays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</si>
</sst>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8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Verdana"/>
      <family val="2"/>
    </font>
    <font>
      <sz val="8.6"/>
      <color rgb="FF000000"/>
      <name val="Verdana"/>
      <family val="2"/>
    </font>
    <font>
      <b/>
      <sz val="14"/>
      <color theme="1"/>
      <name val="Calibri"/>
      <family val="2"/>
      <scheme val="minor"/>
    </font>
    <font>
      <b/>
      <u/>
      <sz val="18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1" fillId="2" borderId="1" xfId="0" applyFont="1" applyFill="1" applyBorder="1"/>
    <xf numFmtId="0" fontId="1" fillId="2" borderId="2" xfId="0" applyFont="1" applyFill="1" applyBorder="1"/>
    <xf numFmtId="0" fontId="0" fillId="3" borderId="1" xfId="0" applyFont="1" applyFill="1" applyBorder="1"/>
    <xf numFmtId="0" fontId="0" fillId="3" borderId="2" xfId="0" applyFont="1" applyFill="1" applyBorder="1"/>
    <xf numFmtId="0" fontId="0" fillId="4" borderId="0" xfId="0" applyFill="1"/>
    <xf numFmtId="49" fontId="0" fillId="0" borderId="0" xfId="0" applyNumberFormat="1" applyAlignment="1">
      <alignment horizontal="right"/>
    </xf>
    <xf numFmtId="0" fontId="2" fillId="5" borderId="0" xfId="0" applyFont="1" applyFill="1" applyAlignment="1">
      <alignment horizontal="right"/>
    </xf>
    <xf numFmtId="0" fontId="0" fillId="5" borderId="0" xfId="0" applyFill="1" applyAlignment="1">
      <alignment horizontal="right"/>
    </xf>
    <xf numFmtId="0" fontId="2" fillId="0" borderId="0" xfId="0" applyFont="1" applyAlignment="1">
      <alignment horizontal="right"/>
    </xf>
    <xf numFmtId="0" fontId="0" fillId="0" borderId="0" xfId="0" applyAlignment="1">
      <alignment horizontal="right"/>
    </xf>
    <xf numFmtId="0" fontId="3" fillId="5" borderId="0" xfId="0" applyFont="1" applyFill="1" applyAlignment="1">
      <alignment horizontal="right"/>
    </xf>
    <xf numFmtId="0" fontId="3" fillId="0" borderId="0" xfId="0" applyFont="1" applyAlignment="1">
      <alignment horizontal="right"/>
    </xf>
    <xf numFmtId="0" fontId="4" fillId="5" borderId="0" xfId="0" applyFont="1" applyFill="1" applyAlignment="1">
      <alignment horizontal="center"/>
    </xf>
    <xf numFmtId="0" fontId="4" fillId="0" borderId="0" xfId="0" applyFont="1" applyAlignment="1">
      <alignment horizontal="center"/>
    </xf>
    <xf numFmtId="49" fontId="4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0" fontId="6" fillId="6" borderId="0" xfId="0" applyFont="1" applyFill="1"/>
    <xf numFmtId="0" fontId="2" fillId="0" borderId="0" xfId="0" applyFont="1"/>
    <xf numFmtId="0" fontId="5" fillId="0" borderId="0" xfId="0" applyFont="1" applyAlignment="1">
      <alignment horizontal="center"/>
    </xf>
    <xf numFmtId="164" fontId="7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harlie/Library/Containers/com.apple.mail/Data/Library/Mail%20Downloads/95A4C8E1-AF27-46E9-BD7D-3B0232420A5E/Chapter%2021%20Kick%20Linear%20Regressio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017 Fieldgoal Data"/>
      <sheetName val="Logistic Regression"/>
      <sheetName val="Prob by Yardage"/>
    </sheetNames>
    <sheetDataSet>
      <sheetData sheetId="0"/>
      <sheetData sheetId="1">
        <row r="3">
          <cell r="J3">
            <v>5.6972903632965277</v>
          </cell>
        </row>
        <row r="4">
          <cell r="J4">
            <v>-9.7277925679150959E-2</v>
          </cell>
        </row>
      </sheetData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69F120-9EC9-4C67-8B33-9BC37673E133}">
  <sheetPr codeName="Sheet2"/>
  <dimension ref="A1:B501"/>
  <sheetViews>
    <sheetView workbookViewId="0">
      <selection activeCell="F504" sqref="F504"/>
    </sheetView>
  </sheetViews>
  <sheetFormatPr baseColWidth="10" defaultColWidth="8.83203125" defaultRowHeight="15"/>
  <cols>
    <col min="1" max="1" width="8.5" bestFit="1" customWidth="1"/>
    <col min="2" max="2" width="12.5" bestFit="1" customWidth="1"/>
  </cols>
  <sheetData>
    <row r="1" spans="1:2">
      <c r="A1" t="s">
        <v>0</v>
      </c>
      <c r="B1" t="s">
        <v>2</v>
      </c>
    </row>
    <row r="2" spans="1:2">
      <c r="A2">
        <v>54</v>
      </c>
      <c r="B2">
        <v>1</v>
      </c>
    </row>
    <row r="3" spans="1:2">
      <c r="A3">
        <v>52</v>
      </c>
      <c r="B3">
        <v>0</v>
      </c>
    </row>
    <row r="4" spans="1:2">
      <c r="A4">
        <v>48</v>
      </c>
      <c r="B4">
        <v>0</v>
      </c>
    </row>
    <row r="5" spans="1:2">
      <c r="A5">
        <v>47</v>
      </c>
      <c r="B5">
        <v>1</v>
      </c>
    </row>
    <row r="6" spans="1:2">
      <c r="A6">
        <v>41</v>
      </c>
      <c r="B6">
        <v>1</v>
      </c>
    </row>
    <row r="7" spans="1:2">
      <c r="A7">
        <v>39</v>
      </c>
      <c r="B7">
        <v>0</v>
      </c>
    </row>
    <row r="8" spans="1:2">
      <c r="A8">
        <v>38</v>
      </c>
      <c r="B8">
        <v>1</v>
      </c>
    </row>
    <row r="9" spans="1:2">
      <c r="A9">
        <v>35</v>
      </c>
      <c r="B9">
        <v>0</v>
      </c>
    </row>
    <row r="10" spans="1:2">
      <c r="A10">
        <v>31</v>
      </c>
      <c r="B10">
        <v>1</v>
      </c>
    </row>
    <row r="11" spans="1:2">
      <c r="A11">
        <v>24</v>
      </c>
      <c r="B11">
        <v>1</v>
      </c>
    </row>
    <row r="12" spans="1:2">
      <c r="A12">
        <v>23</v>
      </c>
      <c r="B12">
        <v>1</v>
      </c>
    </row>
    <row r="13" spans="1:2">
      <c r="A13">
        <v>44</v>
      </c>
      <c r="B13">
        <v>0</v>
      </c>
    </row>
    <row r="14" spans="1:2">
      <c r="A14">
        <v>44</v>
      </c>
      <c r="B14">
        <v>0</v>
      </c>
    </row>
    <row r="15" spans="1:2">
      <c r="A15">
        <v>43</v>
      </c>
      <c r="B15">
        <v>0</v>
      </c>
    </row>
    <row r="16" spans="1:2">
      <c r="A16">
        <v>41</v>
      </c>
      <c r="B16">
        <v>1</v>
      </c>
    </row>
    <row r="17" spans="1:2">
      <c r="A17">
        <v>29</v>
      </c>
      <c r="B17">
        <v>1</v>
      </c>
    </row>
    <row r="18" spans="1:2">
      <c r="A18">
        <v>28</v>
      </c>
      <c r="B18">
        <v>1</v>
      </c>
    </row>
    <row r="19" spans="1:2">
      <c r="A19">
        <v>56</v>
      </c>
      <c r="B19">
        <v>0</v>
      </c>
    </row>
    <row r="20" spans="1:2">
      <c r="A20">
        <v>50</v>
      </c>
      <c r="B20">
        <v>1</v>
      </c>
    </row>
    <row r="21" spans="1:2">
      <c r="A21">
        <v>49</v>
      </c>
      <c r="B21">
        <v>0</v>
      </c>
    </row>
    <row r="22" spans="1:2">
      <c r="A22">
        <v>49</v>
      </c>
      <c r="B22">
        <v>1</v>
      </c>
    </row>
    <row r="23" spans="1:2">
      <c r="A23">
        <v>46</v>
      </c>
      <c r="B23">
        <v>1</v>
      </c>
    </row>
    <row r="24" spans="1:2">
      <c r="A24">
        <v>45</v>
      </c>
      <c r="B24">
        <v>1</v>
      </c>
    </row>
    <row r="25" spans="1:2">
      <c r="A25">
        <v>45</v>
      </c>
      <c r="B25">
        <v>1</v>
      </c>
    </row>
    <row r="26" spans="1:2">
      <c r="A26">
        <v>44</v>
      </c>
      <c r="B26">
        <v>1</v>
      </c>
    </row>
    <row r="27" spans="1:2">
      <c r="A27">
        <v>43</v>
      </c>
      <c r="B27">
        <v>1</v>
      </c>
    </row>
    <row r="28" spans="1:2">
      <c r="A28">
        <v>43</v>
      </c>
      <c r="B28">
        <v>1</v>
      </c>
    </row>
    <row r="29" spans="1:2">
      <c r="A29">
        <v>41</v>
      </c>
      <c r="B29">
        <v>0</v>
      </c>
    </row>
    <row r="30" spans="1:2">
      <c r="A30">
        <v>41</v>
      </c>
      <c r="B30">
        <v>1</v>
      </c>
    </row>
    <row r="31" spans="1:2">
      <c r="A31">
        <v>35</v>
      </c>
      <c r="B31">
        <v>1</v>
      </c>
    </row>
    <row r="32" spans="1:2">
      <c r="A32">
        <v>33</v>
      </c>
      <c r="B32">
        <v>1</v>
      </c>
    </row>
    <row r="33" spans="1:2">
      <c r="A33">
        <v>28</v>
      </c>
      <c r="B33">
        <v>1</v>
      </c>
    </row>
    <row r="34" spans="1:2">
      <c r="A34">
        <v>24</v>
      </c>
      <c r="B34">
        <v>1</v>
      </c>
    </row>
    <row r="35" spans="1:2">
      <c r="A35">
        <v>21</v>
      </c>
      <c r="B35">
        <v>1</v>
      </c>
    </row>
    <row r="36" spans="1:2">
      <c r="A36">
        <v>20</v>
      </c>
      <c r="B36">
        <v>1</v>
      </c>
    </row>
    <row r="37" spans="1:2">
      <c r="A37">
        <v>56</v>
      </c>
      <c r="B37">
        <v>1</v>
      </c>
    </row>
    <row r="38" spans="1:2">
      <c r="A38">
        <v>55</v>
      </c>
      <c r="B38">
        <v>1</v>
      </c>
    </row>
    <row r="39" spans="1:2">
      <c r="A39">
        <v>55</v>
      </c>
      <c r="B39">
        <v>1</v>
      </c>
    </row>
    <row r="40" spans="1:2">
      <c r="A40">
        <v>53</v>
      </c>
      <c r="B40">
        <v>1</v>
      </c>
    </row>
    <row r="41" spans="1:2">
      <c r="A41">
        <v>52</v>
      </c>
      <c r="B41">
        <v>1</v>
      </c>
    </row>
    <row r="42" spans="1:2">
      <c r="A42">
        <v>49</v>
      </c>
      <c r="B42">
        <v>1</v>
      </c>
    </row>
    <row r="43" spans="1:2">
      <c r="A43">
        <v>46</v>
      </c>
      <c r="B43">
        <v>0</v>
      </c>
    </row>
    <row r="44" spans="1:2">
      <c r="A44">
        <v>45</v>
      </c>
      <c r="B44">
        <v>1</v>
      </c>
    </row>
    <row r="45" spans="1:2">
      <c r="A45">
        <v>44</v>
      </c>
      <c r="B45">
        <v>1</v>
      </c>
    </row>
    <row r="46" spans="1:2">
      <c r="A46">
        <v>41</v>
      </c>
      <c r="B46">
        <v>0</v>
      </c>
    </row>
    <row r="47" spans="1:2">
      <c r="A47">
        <v>38</v>
      </c>
      <c r="B47">
        <v>1</v>
      </c>
    </row>
    <row r="48" spans="1:2">
      <c r="A48">
        <v>35</v>
      </c>
      <c r="B48">
        <v>1</v>
      </c>
    </row>
    <row r="49" spans="1:2">
      <c r="A49">
        <v>31</v>
      </c>
      <c r="B49">
        <v>1</v>
      </c>
    </row>
    <row r="50" spans="1:2">
      <c r="A50">
        <v>30</v>
      </c>
      <c r="B50">
        <v>1</v>
      </c>
    </row>
    <row r="51" spans="1:2">
      <c r="A51">
        <v>28</v>
      </c>
      <c r="B51">
        <v>1</v>
      </c>
    </row>
    <row r="52" spans="1:2">
      <c r="A52">
        <v>27</v>
      </c>
      <c r="B52">
        <v>1</v>
      </c>
    </row>
    <row r="53" spans="1:2">
      <c r="A53">
        <v>25</v>
      </c>
      <c r="B53">
        <v>1</v>
      </c>
    </row>
    <row r="54" spans="1:2">
      <c r="A54">
        <v>24</v>
      </c>
      <c r="B54">
        <v>1</v>
      </c>
    </row>
    <row r="55" spans="1:2">
      <c r="A55">
        <v>58</v>
      </c>
      <c r="B55">
        <v>1</v>
      </c>
    </row>
    <row r="56" spans="1:2">
      <c r="A56">
        <v>48</v>
      </c>
      <c r="B56">
        <v>1</v>
      </c>
    </row>
    <row r="57" spans="1:2">
      <c r="A57">
        <v>47</v>
      </c>
      <c r="B57">
        <v>0</v>
      </c>
    </row>
    <row r="58" spans="1:2">
      <c r="A58">
        <v>45</v>
      </c>
      <c r="B58">
        <v>1</v>
      </c>
    </row>
    <row r="59" spans="1:2">
      <c r="A59">
        <v>43</v>
      </c>
      <c r="B59">
        <v>0</v>
      </c>
    </row>
    <row r="60" spans="1:2">
      <c r="A60">
        <v>43</v>
      </c>
      <c r="B60">
        <v>0</v>
      </c>
    </row>
    <row r="61" spans="1:2">
      <c r="A61">
        <v>43</v>
      </c>
      <c r="B61">
        <v>1</v>
      </c>
    </row>
    <row r="62" spans="1:2">
      <c r="A62">
        <v>41</v>
      </c>
      <c r="B62">
        <v>1</v>
      </c>
    </row>
    <row r="63" spans="1:2">
      <c r="A63">
        <v>38</v>
      </c>
      <c r="B63">
        <v>1</v>
      </c>
    </row>
    <row r="64" spans="1:2">
      <c r="A64">
        <v>36</v>
      </c>
      <c r="B64">
        <v>1</v>
      </c>
    </row>
    <row r="65" spans="1:2">
      <c r="A65">
        <v>35</v>
      </c>
      <c r="B65">
        <v>1</v>
      </c>
    </row>
    <row r="66" spans="1:2">
      <c r="A66">
        <v>32</v>
      </c>
      <c r="B66">
        <v>1</v>
      </c>
    </row>
    <row r="67" spans="1:2">
      <c r="A67">
        <v>29</v>
      </c>
      <c r="B67">
        <v>1</v>
      </c>
    </row>
    <row r="68" spans="1:2">
      <c r="A68">
        <v>28</v>
      </c>
      <c r="B68">
        <v>1</v>
      </c>
    </row>
    <row r="69" spans="1:2">
      <c r="A69">
        <v>28</v>
      </c>
      <c r="B69">
        <v>1</v>
      </c>
    </row>
    <row r="70" spans="1:2">
      <c r="A70">
        <v>27</v>
      </c>
      <c r="B70">
        <v>1</v>
      </c>
    </row>
    <row r="71" spans="1:2">
      <c r="A71">
        <v>27</v>
      </c>
      <c r="B71">
        <v>1</v>
      </c>
    </row>
    <row r="72" spans="1:2">
      <c r="A72">
        <v>26</v>
      </c>
      <c r="B72">
        <v>1</v>
      </c>
    </row>
    <row r="73" spans="1:2">
      <c r="A73">
        <v>25</v>
      </c>
      <c r="B73">
        <v>1</v>
      </c>
    </row>
    <row r="74" spans="1:2">
      <c r="A74">
        <v>25</v>
      </c>
      <c r="B74">
        <v>1</v>
      </c>
    </row>
    <row r="75" spans="1:2">
      <c r="A75">
        <v>24</v>
      </c>
      <c r="B75">
        <v>1</v>
      </c>
    </row>
    <row r="76" spans="1:2">
      <c r="A76">
        <v>23</v>
      </c>
      <c r="B76">
        <v>1</v>
      </c>
    </row>
    <row r="77" spans="1:2">
      <c r="A77">
        <v>21</v>
      </c>
      <c r="B77">
        <v>1</v>
      </c>
    </row>
    <row r="78" spans="1:2">
      <c r="A78">
        <v>53</v>
      </c>
      <c r="B78">
        <v>0</v>
      </c>
    </row>
    <row r="79" spans="1:2">
      <c r="A79">
        <v>52</v>
      </c>
      <c r="B79">
        <v>0</v>
      </c>
    </row>
    <row r="80" spans="1:2">
      <c r="A80">
        <v>52</v>
      </c>
      <c r="B80">
        <v>1</v>
      </c>
    </row>
    <row r="81" spans="1:2">
      <c r="A81">
        <v>48</v>
      </c>
      <c r="B81">
        <v>1</v>
      </c>
    </row>
    <row r="82" spans="1:2">
      <c r="A82">
        <v>48</v>
      </c>
      <c r="B82">
        <v>1</v>
      </c>
    </row>
    <row r="83" spans="1:2">
      <c r="A83">
        <v>47</v>
      </c>
      <c r="B83">
        <v>1</v>
      </c>
    </row>
    <row r="84" spans="1:2">
      <c r="A84">
        <v>47</v>
      </c>
      <c r="B84">
        <v>1</v>
      </c>
    </row>
    <row r="85" spans="1:2">
      <c r="A85">
        <v>46</v>
      </c>
      <c r="B85">
        <v>1</v>
      </c>
    </row>
    <row r="86" spans="1:2">
      <c r="A86">
        <v>45</v>
      </c>
      <c r="B86">
        <v>1</v>
      </c>
    </row>
    <row r="87" spans="1:2">
      <c r="A87">
        <v>43</v>
      </c>
      <c r="B87">
        <v>1</v>
      </c>
    </row>
    <row r="88" spans="1:2">
      <c r="A88">
        <v>41</v>
      </c>
      <c r="B88">
        <v>1</v>
      </c>
    </row>
    <row r="89" spans="1:2">
      <c r="A89">
        <v>40</v>
      </c>
      <c r="B89">
        <v>1</v>
      </c>
    </row>
    <row r="90" spans="1:2">
      <c r="A90">
        <v>40</v>
      </c>
      <c r="B90">
        <v>1</v>
      </c>
    </row>
    <row r="91" spans="1:2">
      <c r="A91">
        <v>37</v>
      </c>
      <c r="B91">
        <v>1</v>
      </c>
    </row>
    <row r="92" spans="1:2">
      <c r="A92">
        <v>35</v>
      </c>
      <c r="B92">
        <v>1</v>
      </c>
    </row>
    <row r="93" spans="1:2">
      <c r="A93">
        <v>32</v>
      </c>
      <c r="B93">
        <v>1</v>
      </c>
    </row>
    <row r="94" spans="1:2">
      <c r="A94">
        <v>31</v>
      </c>
      <c r="B94">
        <v>1</v>
      </c>
    </row>
    <row r="95" spans="1:2">
      <c r="A95">
        <v>26</v>
      </c>
      <c r="B95">
        <v>1</v>
      </c>
    </row>
    <row r="96" spans="1:2">
      <c r="A96">
        <v>26</v>
      </c>
      <c r="B96">
        <v>1</v>
      </c>
    </row>
    <row r="97" spans="1:2">
      <c r="A97">
        <v>24</v>
      </c>
      <c r="B97">
        <v>1</v>
      </c>
    </row>
    <row r="98" spans="1:2">
      <c r="A98">
        <v>23</v>
      </c>
      <c r="B98">
        <v>1</v>
      </c>
    </row>
    <row r="99" spans="1:2">
      <c r="A99">
        <v>23</v>
      </c>
      <c r="B99">
        <v>1</v>
      </c>
    </row>
    <row r="100" spans="1:2">
      <c r="A100">
        <v>23</v>
      </c>
      <c r="B100">
        <v>1</v>
      </c>
    </row>
    <row r="101" spans="1:2">
      <c r="A101">
        <v>52</v>
      </c>
      <c r="B101">
        <v>1</v>
      </c>
    </row>
    <row r="102" spans="1:2">
      <c r="A102">
        <v>50</v>
      </c>
      <c r="B102">
        <v>1</v>
      </c>
    </row>
    <row r="103" spans="1:2">
      <c r="A103">
        <v>49</v>
      </c>
      <c r="B103">
        <v>1</v>
      </c>
    </row>
    <row r="104" spans="1:2">
      <c r="A104">
        <v>48</v>
      </c>
      <c r="B104">
        <v>1</v>
      </c>
    </row>
    <row r="105" spans="1:2">
      <c r="A105">
        <v>48</v>
      </c>
      <c r="B105">
        <v>1</v>
      </c>
    </row>
    <row r="106" spans="1:2">
      <c r="A106">
        <v>47</v>
      </c>
      <c r="B106">
        <v>0</v>
      </c>
    </row>
    <row r="107" spans="1:2">
      <c r="A107">
        <v>47</v>
      </c>
      <c r="B107">
        <v>1</v>
      </c>
    </row>
    <row r="108" spans="1:2">
      <c r="A108">
        <v>44</v>
      </c>
      <c r="B108">
        <v>1</v>
      </c>
    </row>
    <row r="109" spans="1:2">
      <c r="A109">
        <v>43</v>
      </c>
      <c r="B109">
        <v>1</v>
      </c>
    </row>
    <row r="110" spans="1:2">
      <c r="A110">
        <v>43</v>
      </c>
      <c r="B110">
        <v>1</v>
      </c>
    </row>
    <row r="111" spans="1:2">
      <c r="A111">
        <v>42</v>
      </c>
      <c r="B111">
        <v>1</v>
      </c>
    </row>
    <row r="112" spans="1:2">
      <c r="A112">
        <v>40</v>
      </c>
      <c r="B112">
        <v>1</v>
      </c>
    </row>
    <row r="113" spans="1:2">
      <c r="A113">
        <v>40</v>
      </c>
      <c r="B113">
        <v>1</v>
      </c>
    </row>
    <row r="114" spans="1:2">
      <c r="A114">
        <v>39</v>
      </c>
      <c r="B114">
        <v>1</v>
      </c>
    </row>
    <row r="115" spans="1:2">
      <c r="A115">
        <v>37</v>
      </c>
      <c r="B115">
        <v>1</v>
      </c>
    </row>
    <row r="116" spans="1:2">
      <c r="A116">
        <v>36</v>
      </c>
      <c r="B116">
        <v>1</v>
      </c>
    </row>
    <row r="117" spans="1:2">
      <c r="A117">
        <v>34</v>
      </c>
      <c r="B117">
        <v>1</v>
      </c>
    </row>
    <row r="118" spans="1:2">
      <c r="A118">
        <v>28</v>
      </c>
      <c r="B118">
        <v>1</v>
      </c>
    </row>
    <row r="119" spans="1:2">
      <c r="A119">
        <v>27</v>
      </c>
      <c r="B119">
        <v>0</v>
      </c>
    </row>
    <row r="120" spans="1:2">
      <c r="A120">
        <v>23</v>
      </c>
      <c r="B120">
        <v>1</v>
      </c>
    </row>
    <row r="121" spans="1:2">
      <c r="A121">
        <v>48</v>
      </c>
      <c r="B121">
        <v>0</v>
      </c>
    </row>
    <row r="122" spans="1:2">
      <c r="A122">
        <v>46</v>
      </c>
      <c r="B122">
        <v>1</v>
      </c>
    </row>
    <row r="123" spans="1:2">
      <c r="A123">
        <v>41</v>
      </c>
      <c r="B123">
        <v>1</v>
      </c>
    </row>
    <row r="124" spans="1:2">
      <c r="A124">
        <v>39</v>
      </c>
      <c r="B124">
        <v>1</v>
      </c>
    </row>
    <row r="125" spans="1:2">
      <c r="A125">
        <v>34</v>
      </c>
      <c r="B125">
        <v>0</v>
      </c>
    </row>
    <row r="126" spans="1:2">
      <c r="A126">
        <v>30</v>
      </c>
      <c r="B126">
        <v>1</v>
      </c>
    </row>
    <row r="127" spans="1:2">
      <c r="A127">
        <v>30</v>
      </c>
      <c r="B127">
        <v>1</v>
      </c>
    </row>
    <row r="128" spans="1:2">
      <c r="A128">
        <v>29</v>
      </c>
      <c r="B128">
        <v>1</v>
      </c>
    </row>
    <row r="129" spans="1:2">
      <c r="A129">
        <v>29</v>
      </c>
      <c r="B129">
        <v>1</v>
      </c>
    </row>
    <row r="130" spans="1:2">
      <c r="A130">
        <v>29</v>
      </c>
      <c r="B130">
        <v>1</v>
      </c>
    </row>
    <row r="131" spans="1:2">
      <c r="A131">
        <v>51</v>
      </c>
      <c r="B131">
        <v>0</v>
      </c>
    </row>
    <row r="132" spans="1:2">
      <c r="A132">
        <v>50</v>
      </c>
      <c r="B132">
        <v>1</v>
      </c>
    </row>
    <row r="133" spans="1:2">
      <c r="A133">
        <v>45</v>
      </c>
      <c r="B133">
        <v>0</v>
      </c>
    </row>
    <row r="134" spans="1:2">
      <c r="A134">
        <v>43</v>
      </c>
      <c r="B134">
        <v>1</v>
      </c>
    </row>
    <row r="135" spans="1:2">
      <c r="A135">
        <v>42</v>
      </c>
      <c r="B135">
        <v>0</v>
      </c>
    </row>
    <row r="136" spans="1:2">
      <c r="A136">
        <v>40</v>
      </c>
      <c r="B136">
        <v>1</v>
      </c>
    </row>
    <row r="137" spans="1:2">
      <c r="A137">
        <v>37</v>
      </c>
      <c r="B137">
        <v>1</v>
      </c>
    </row>
    <row r="138" spans="1:2">
      <c r="A138">
        <v>36</v>
      </c>
      <c r="B138">
        <v>0</v>
      </c>
    </row>
    <row r="139" spans="1:2">
      <c r="A139">
        <v>32</v>
      </c>
      <c r="B139">
        <v>0</v>
      </c>
    </row>
    <row r="140" spans="1:2">
      <c r="A140">
        <v>32</v>
      </c>
      <c r="B140">
        <v>0</v>
      </c>
    </row>
    <row r="141" spans="1:2">
      <c r="A141">
        <v>32</v>
      </c>
      <c r="B141">
        <v>1</v>
      </c>
    </row>
    <row r="142" spans="1:2">
      <c r="A142">
        <v>30</v>
      </c>
      <c r="B142">
        <v>1</v>
      </c>
    </row>
    <row r="143" spans="1:2">
      <c r="A143">
        <v>29</v>
      </c>
      <c r="B143">
        <v>1</v>
      </c>
    </row>
    <row r="144" spans="1:2">
      <c r="A144">
        <v>28</v>
      </c>
      <c r="B144">
        <v>1</v>
      </c>
    </row>
    <row r="145" spans="1:2">
      <c r="A145">
        <v>27</v>
      </c>
      <c r="B145">
        <v>1</v>
      </c>
    </row>
    <row r="146" spans="1:2">
      <c r="A146">
        <v>24</v>
      </c>
      <c r="B146">
        <v>1</v>
      </c>
    </row>
    <row r="147" spans="1:2">
      <c r="A147">
        <v>50</v>
      </c>
      <c r="B147">
        <v>1</v>
      </c>
    </row>
    <row r="148" spans="1:2">
      <c r="A148">
        <v>41</v>
      </c>
      <c r="B148">
        <v>1</v>
      </c>
    </row>
    <row r="149" spans="1:2">
      <c r="A149">
        <v>25</v>
      </c>
      <c r="B149">
        <v>1</v>
      </c>
    </row>
    <row r="150" spans="1:2">
      <c r="A150">
        <v>38</v>
      </c>
      <c r="B150">
        <v>1</v>
      </c>
    </row>
    <row r="151" spans="1:2">
      <c r="A151">
        <v>36</v>
      </c>
      <c r="B151">
        <v>0</v>
      </c>
    </row>
    <row r="152" spans="1:2">
      <c r="A152">
        <v>27</v>
      </c>
      <c r="B152">
        <v>1</v>
      </c>
    </row>
    <row r="153" spans="1:2">
      <c r="A153">
        <v>51</v>
      </c>
      <c r="B153">
        <v>0</v>
      </c>
    </row>
    <row r="154" spans="1:2">
      <c r="A154">
        <v>48</v>
      </c>
      <c r="B154">
        <v>0</v>
      </c>
    </row>
    <row r="155" spans="1:2">
      <c r="A155">
        <v>32</v>
      </c>
      <c r="B155">
        <v>1</v>
      </c>
    </row>
    <row r="156" spans="1:2">
      <c r="A156">
        <v>31</v>
      </c>
      <c r="B156">
        <v>1</v>
      </c>
    </row>
    <row r="157" spans="1:2">
      <c r="A157">
        <v>20</v>
      </c>
      <c r="B157">
        <v>1</v>
      </c>
    </row>
    <row r="158" spans="1:2">
      <c r="A158">
        <v>56</v>
      </c>
      <c r="B158">
        <v>0</v>
      </c>
    </row>
    <row r="159" spans="1:2">
      <c r="A159">
        <v>50</v>
      </c>
      <c r="B159">
        <v>1</v>
      </c>
    </row>
    <row r="160" spans="1:2">
      <c r="A160">
        <v>49</v>
      </c>
      <c r="B160">
        <v>0</v>
      </c>
    </row>
    <row r="161" spans="1:2">
      <c r="A161">
        <v>49</v>
      </c>
      <c r="B161">
        <v>0</v>
      </c>
    </row>
    <row r="162" spans="1:2">
      <c r="A162">
        <v>46</v>
      </c>
      <c r="B162">
        <v>0</v>
      </c>
    </row>
    <row r="163" spans="1:2">
      <c r="A163">
        <v>42</v>
      </c>
      <c r="B163">
        <v>1</v>
      </c>
    </row>
    <row r="164" spans="1:2">
      <c r="A164">
        <v>40</v>
      </c>
      <c r="B164">
        <v>1</v>
      </c>
    </row>
    <row r="165" spans="1:2">
      <c r="A165">
        <v>34</v>
      </c>
      <c r="B165">
        <v>1</v>
      </c>
    </row>
    <row r="166" spans="1:2">
      <c r="A166">
        <v>31</v>
      </c>
      <c r="B166">
        <v>0</v>
      </c>
    </row>
    <row r="167" spans="1:2">
      <c r="A167">
        <v>23</v>
      </c>
      <c r="B167">
        <v>1</v>
      </c>
    </row>
    <row r="168" spans="1:2">
      <c r="A168">
        <v>20</v>
      </c>
      <c r="B168">
        <v>1</v>
      </c>
    </row>
    <row r="169" spans="1:2">
      <c r="A169">
        <v>59</v>
      </c>
      <c r="B169">
        <v>0</v>
      </c>
    </row>
    <row r="170" spans="1:2">
      <c r="A170">
        <v>58</v>
      </c>
      <c r="B170">
        <v>1</v>
      </c>
    </row>
    <row r="171" spans="1:2">
      <c r="A171">
        <v>57</v>
      </c>
      <c r="B171">
        <v>1</v>
      </c>
    </row>
    <row r="172" spans="1:2">
      <c r="A172">
        <v>56</v>
      </c>
      <c r="B172">
        <v>0</v>
      </c>
    </row>
    <row r="173" spans="1:2">
      <c r="A173">
        <v>56</v>
      </c>
      <c r="B173">
        <v>1</v>
      </c>
    </row>
    <row r="174" spans="1:2">
      <c r="A174">
        <v>55</v>
      </c>
      <c r="B174">
        <v>1</v>
      </c>
    </row>
    <row r="175" spans="1:2">
      <c r="A175">
        <v>51</v>
      </c>
      <c r="B175">
        <v>1</v>
      </c>
    </row>
    <row r="176" spans="1:2">
      <c r="A176">
        <v>48</v>
      </c>
      <c r="B176">
        <v>1</v>
      </c>
    </row>
    <row r="177" spans="1:2">
      <c r="A177">
        <v>41</v>
      </c>
      <c r="B177">
        <v>1</v>
      </c>
    </row>
    <row r="178" spans="1:2">
      <c r="A178">
        <v>40</v>
      </c>
      <c r="B178">
        <v>1</v>
      </c>
    </row>
    <row r="179" spans="1:2">
      <c r="A179">
        <v>37</v>
      </c>
      <c r="B179">
        <v>1</v>
      </c>
    </row>
    <row r="180" spans="1:2">
      <c r="A180">
        <v>37</v>
      </c>
      <c r="B180">
        <v>1</v>
      </c>
    </row>
    <row r="181" spans="1:2">
      <c r="A181">
        <v>35</v>
      </c>
      <c r="B181">
        <v>1</v>
      </c>
    </row>
    <row r="182" spans="1:2">
      <c r="A182">
        <v>34</v>
      </c>
      <c r="B182">
        <v>1</v>
      </c>
    </row>
    <row r="183" spans="1:2">
      <c r="A183">
        <v>30</v>
      </c>
      <c r="B183">
        <v>1</v>
      </c>
    </row>
    <row r="184" spans="1:2">
      <c r="A184">
        <v>29</v>
      </c>
      <c r="B184">
        <v>1</v>
      </c>
    </row>
    <row r="185" spans="1:2">
      <c r="A185">
        <v>19</v>
      </c>
      <c r="B185">
        <v>1</v>
      </c>
    </row>
    <row r="186" spans="1:2">
      <c r="A186">
        <v>59</v>
      </c>
      <c r="B186">
        <v>0</v>
      </c>
    </row>
    <row r="187" spans="1:2">
      <c r="A187">
        <v>53</v>
      </c>
      <c r="B187">
        <v>1</v>
      </c>
    </row>
    <row r="188" spans="1:2">
      <c r="A188">
        <v>51</v>
      </c>
      <c r="B188">
        <v>1</v>
      </c>
    </row>
    <row r="189" spans="1:2">
      <c r="A189">
        <v>50</v>
      </c>
      <c r="B189">
        <v>1</v>
      </c>
    </row>
    <row r="190" spans="1:2">
      <c r="A190">
        <v>48</v>
      </c>
      <c r="B190">
        <v>1</v>
      </c>
    </row>
    <row r="191" spans="1:2">
      <c r="A191">
        <v>48</v>
      </c>
      <c r="B191">
        <v>1</v>
      </c>
    </row>
    <row r="192" spans="1:2">
      <c r="A192">
        <v>45</v>
      </c>
      <c r="B192">
        <v>1</v>
      </c>
    </row>
    <row r="193" spans="1:2">
      <c r="A193">
        <v>40</v>
      </c>
      <c r="B193">
        <v>1</v>
      </c>
    </row>
    <row r="194" spans="1:2">
      <c r="A194">
        <v>37</v>
      </c>
      <c r="B194">
        <v>0</v>
      </c>
    </row>
    <row r="195" spans="1:2">
      <c r="A195">
        <v>37</v>
      </c>
      <c r="B195">
        <v>1</v>
      </c>
    </row>
    <row r="196" spans="1:2">
      <c r="A196">
        <v>37</v>
      </c>
      <c r="B196">
        <v>1</v>
      </c>
    </row>
    <row r="197" spans="1:2">
      <c r="A197">
        <v>36</v>
      </c>
      <c r="B197">
        <v>0</v>
      </c>
    </row>
    <row r="198" spans="1:2">
      <c r="A198">
        <v>36</v>
      </c>
      <c r="B198">
        <v>1</v>
      </c>
    </row>
    <row r="199" spans="1:2">
      <c r="A199">
        <v>29</v>
      </c>
      <c r="B199">
        <v>1</v>
      </c>
    </row>
    <row r="200" spans="1:2">
      <c r="A200">
        <v>28</v>
      </c>
      <c r="B200">
        <v>1</v>
      </c>
    </row>
    <row r="201" spans="1:2">
      <c r="A201">
        <v>28</v>
      </c>
      <c r="B201">
        <v>1</v>
      </c>
    </row>
    <row r="202" spans="1:2">
      <c r="A202">
        <v>23</v>
      </c>
      <c r="B202">
        <v>1</v>
      </c>
    </row>
    <row r="203" spans="1:2">
      <c r="A203">
        <v>59</v>
      </c>
      <c r="B203">
        <v>0</v>
      </c>
    </row>
    <row r="204" spans="1:2">
      <c r="A204">
        <v>46</v>
      </c>
      <c r="B204">
        <v>1</v>
      </c>
    </row>
    <row r="205" spans="1:2">
      <c r="A205">
        <v>40</v>
      </c>
      <c r="B205">
        <v>1</v>
      </c>
    </row>
    <row r="206" spans="1:2">
      <c r="A206">
        <v>28</v>
      </c>
      <c r="B206">
        <v>1</v>
      </c>
    </row>
    <row r="207" spans="1:2">
      <c r="A207">
        <v>28</v>
      </c>
      <c r="B207">
        <v>1</v>
      </c>
    </row>
    <row r="208" spans="1:2">
      <c r="A208">
        <v>27</v>
      </c>
      <c r="B208">
        <v>1</v>
      </c>
    </row>
    <row r="209" spans="1:2">
      <c r="A209">
        <v>26</v>
      </c>
      <c r="B209">
        <v>1</v>
      </c>
    </row>
    <row r="210" spans="1:2">
      <c r="A210">
        <v>22</v>
      </c>
      <c r="B210">
        <v>1</v>
      </c>
    </row>
    <row r="211" spans="1:2">
      <c r="A211">
        <v>53</v>
      </c>
      <c r="B211">
        <v>1</v>
      </c>
    </row>
    <row r="212" spans="1:2">
      <c r="A212">
        <v>52</v>
      </c>
      <c r="B212">
        <v>1</v>
      </c>
    </row>
    <row r="213" spans="1:2">
      <c r="A213">
        <v>51</v>
      </c>
      <c r="B213">
        <v>1</v>
      </c>
    </row>
    <row r="214" spans="1:2">
      <c r="A214">
        <v>51</v>
      </c>
      <c r="B214">
        <v>1</v>
      </c>
    </row>
    <row r="215" spans="1:2">
      <c r="A215">
        <v>45</v>
      </c>
      <c r="B215">
        <v>1</v>
      </c>
    </row>
    <row r="216" spans="1:2">
      <c r="A216">
        <v>43</v>
      </c>
      <c r="B216">
        <v>1</v>
      </c>
    </row>
    <row r="217" spans="1:2">
      <c r="A217">
        <v>43</v>
      </c>
      <c r="B217">
        <v>1</v>
      </c>
    </row>
    <row r="218" spans="1:2">
      <c r="A218">
        <v>43</v>
      </c>
      <c r="B218">
        <v>1</v>
      </c>
    </row>
    <row r="219" spans="1:2">
      <c r="A219">
        <v>42</v>
      </c>
      <c r="B219">
        <v>1</v>
      </c>
    </row>
    <row r="220" spans="1:2">
      <c r="A220">
        <v>39</v>
      </c>
      <c r="B220">
        <v>0</v>
      </c>
    </row>
    <row r="221" spans="1:2">
      <c r="A221">
        <v>37</v>
      </c>
      <c r="B221">
        <v>1</v>
      </c>
    </row>
    <row r="222" spans="1:2">
      <c r="A222">
        <v>36</v>
      </c>
      <c r="B222">
        <v>1</v>
      </c>
    </row>
    <row r="223" spans="1:2">
      <c r="A223">
        <v>35</v>
      </c>
      <c r="B223">
        <v>1</v>
      </c>
    </row>
    <row r="224" spans="1:2">
      <c r="A224">
        <v>34</v>
      </c>
      <c r="B224">
        <v>1</v>
      </c>
    </row>
    <row r="225" spans="1:2">
      <c r="A225">
        <v>34</v>
      </c>
      <c r="B225">
        <v>1</v>
      </c>
    </row>
    <row r="226" spans="1:2">
      <c r="A226">
        <v>34</v>
      </c>
      <c r="B226">
        <v>1</v>
      </c>
    </row>
    <row r="227" spans="1:2">
      <c r="A227">
        <v>32</v>
      </c>
      <c r="B227">
        <v>1</v>
      </c>
    </row>
    <row r="228" spans="1:2">
      <c r="A228">
        <v>32</v>
      </c>
      <c r="B228">
        <v>1</v>
      </c>
    </row>
    <row r="229" spans="1:2">
      <c r="A229">
        <v>26</v>
      </c>
      <c r="B229">
        <v>1</v>
      </c>
    </row>
    <row r="230" spans="1:2">
      <c r="A230">
        <v>26</v>
      </c>
      <c r="B230">
        <v>1</v>
      </c>
    </row>
    <row r="231" spans="1:2">
      <c r="A231">
        <v>24</v>
      </c>
      <c r="B231">
        <v>1</v>
      </c>
    </row>
    <row r="232" spans="1:2">
      <c r="A232">
        <v>20</v>
      </c>
      <c r="B232">
        <v>1</v>
      </c>
    </row>
    <row r="233" spans="1:2">
      <c r="A233">
        <v>50</v>
      </c>
      <c r="B233">
        <v>1</v>
      </c>
    </row>
    <row r="234" spans="1:2">
      <c r="A234">
        <v>42</v>
      </c>
      <c r="B234">
        <v>1</v>
      </c>
    </row>
    <row r="235" spans="1:2">
      <c r="A235">
        <v>40</v>
      </c>
      <c r="B235">
        <v>1</v>
      </c>
    </row>
    <row r="236" spans="1:2">
      <c r="A236">
        <v>40</v>
      </c>
      <c r="B236">
        <v>1</v>
      </c>
    </row>
    <row r="237" spans="1:2">
      <c r="A237">
        <v>40</v>
      </c>
      <c r="B237">
        <v>1</v>
      </c>
    </row>
    <row r="238" spans="1:2">
      <c r="A238">
        <v>39</v>
      </c>
      <c r="B238">
        <v>1</v>
      </c>
    </row>
    <row r="239" spans="1:2">
      <c r="A239">
        <v>36</v>
      </c>
      <c r="B239">
        <v>1</v>
      </c>
    </row>
    <row r="240" spans="1:2">
      <c r="A240">
        <v>33</v>
      </c>
      <c r="B240">
        <v>1</v>
      </c>
    </row>
    <row r="241" spans="1:2">
      <c r="A241">
        <v>31</v>
      </c>
      <c r="B241">
        <v>1</v>
      </c>
    </row>
    <row r="242" spans="1:2">
      <c r="A242">
        <v>31</v>
      </c>
      <c r="B242">
        <v>1</v>
      </c>
    </row>
    <row r="243" spans="1:2">
      <c r="A243">
        <v>26</v>
      </c>
      <c r="B243">
        <v>1</v>
      </c>
    </row>
    <row r="244" spans="1:2">
      <c r="A244">
        <v>62</v>
      </c>
      <c r="B244">
        <v>0</v>
      </c>
    </row>
    <row r="245" spans="1:2">
      <c r="A245">
        <v>58</v>
      </c>
      <c r="B245">
        <v>0</v>
      </c>
    </row>
    <row r="246" spans="1:2">
      <c r="A246">
        <v>57</v>
      </c>
      <c r="B246">
        <v>1</v>
      </c>
    </row>
    <row r="247" spans="1:2">
      <c r="A247">
        <v>55</v>
      </c>
      <c r="B247">
        <v>1</v>
      </c>
    </row>
    <row r="248" spans="1:2">
      <c r="A248">
        <v>50</v>
      </c>
      <c r="B248">
        <v>1</v>
      </c>
    </row>
    <row r="249" spans="1:2">
      <c r="A249">
        <v>48</v>
      </c>
      <c r="B249">
        <v>1</v>
      </c>
    </row>
    <row r="250" spans="1:2">
      <c r="A250">
        <v>48</v>
      </c>
      <c r="B250">
        <v>1</v>
      </c>
    </row>
    <row r="251" spans="1:2">
      <c r="A251">
        <v>47</v>
      </c>
      <c r="B251">
        <v>1</v>
      </c>
    </row>
    <row r="252" spans="1:2">
      <c r="A252">
        <v>47</v>
      </c>
      <c r="B252">
        <v>1</v>
      </c>
    </row>
    <row r="253" spans="1:2">
      <c r="A253">
        <v>46</v>
      </c>
      <c r="B253">
        <v>0</v>
      </c>
    </row>
    <row r="254" spans="1:2">
      <c r="A254">
        <v>44</v>
      </c>
      <c r="B254">
        <v>1</v>
      </c>
    </row>
    <row r="255" spans="1:2">
      <c r="A255">
        <v>42</v>
      </c>
      <c r="B255">
        <v>1</v>
      </c>
    </row>
    <row r="256" spans="1:2">
      <c r="A256">
        <v>31</v>
      </c>
      <c r="B256">
        <v>1</v>
      </c>
    </row>
    <row r="257" spans="1:2">
      <c r="A257">
        <v>28</v>
      </c>
      <c r="B257">
        <v>1</v>
      </c>
    </row>
    <row r="258" spans="1:2">
      <c r="A258">
        <v>27</v>
      </c>
      <c r="B258">
        <v>1</v>
      </c>
    </row>
    <row r="259" spans="1:2">
      <c r="A259">
        <v>25</v>
      </c>
      <c r="B259">
        <v>1</v>
      </c>
    </row>
    <row r="260" spans="1:2">
      <c r="A260">
        <v>25</v>
      </c>
      <c r="B260">
        <v>1</v>
      </c>
    </row>
    <row r="261" spans="1:2">
      <c r="A261">
        <v>22</v>
      </c>
      <c r="B261">
        <v>1</v>
      </c>
    </row>
    <row r="262" spans="1:2">
      <c r="A262">
        <v>21</v>
      </c>
      <c r="B262">
        <v>1</v>
      </c>
    </row>
    <row r="263" spans="1:2">
      <c r="A263">
        <v>42</v>
      </c>
      <c r="B263">
        <v>1</v>
      </c>
    </row>
    <row r="264" spans="1:2">
      <c r="A264">
        <v>33</v>
      </c>
      <c r="B264">
        <v>1</v>
      </c>
    </row>
    <row r="265" spans="1:2">
      <c r="A265">
        <v>54</v>
      </c>
      <c r="B265">
        <v>0</v>
      </c>
    </row>
    <row r="266" spans="1:2">
      <c r="A266">
        <v>54</v>
      </c>
      <c r="B266">
        <v>0</v>
      </c>
    </row>
    <row r="267" spans="1:2">
      <c r="A267">
        <v>52</v>
      </c>
      <c r="B267">
        <v>0</v>
      </c>
    </row>
    <row r="268" spans="1:2">
      <c r="A268">
        <v>47</v>
      </c>
      <c r="B268">
        <v>1</v>
      </c>
    </row>
    <row r="269" spans="1:2">
      <c r="A269">
        <v>45</v>
      </c>
      <c r="B269">
        <v>1</v>
      </c>
    </row>
    <row r="270" spans="1:2">
      <c r="A270">
        <v>43</v>
      </c>
      <c r="B270">
        <v>1</v>
      </c>
    </row>
    <row r="271" spans="1:2">
      <c r="A271">
        <v>42</v>
      </c>
      <c r="B271">
        <v>1</v>
      </c>
    </row>
    <row r="272" spans="1:2">
      <c r="A272">
        <v>41</v>
      </c>
      <c r="B272">
        <v>1</v>
      </c>
    </row>
    <row r="273" spans="1:2">
      <c r="A273">
        <v>39</v>
      </c>
      <c r="B273">
        <v>0</v>
      </c>
    </row>
    <row r="274" spans="1:2">
      <c r="A274">
        <v>38</v>
      </c>
      <c r="B274">
        <v>1</v>
      </c>
    </row>
    <row r="275" spans="1:2">
      <c r="A275">
        <v>30</v>
      </c>
      <c r="B275">
        <v>1</v>
      </c>
    </row>
    <row r="276" spans="1:2">
      <c r="A276">
        <v>29</v>
      </c>
      <c r="B276">
        <v>1</v>
      </c>
    </row>
    <row r="277" spans="1:2">
      <c r="A277">
        <v>25</v>
      </c>
      <c r="B277">
        <v>1</v>
      </c>
    </row>
    <row r="278" spans="1:2">
      <c r="A278">
        <v>23</v>
      </c>
      <c r="B278">
        <v>1</v>
      </c>
    </row>
    <row r="279" spans="1:2">
      <c r="A279">
        <v>22</v>
      </c>
      <c r="B279">
        <v>1</v>
      </c>
    </row>
    <row r="280" spans="1:2">
      <c r="A280">
        <v>61</v>
      </c>
      <c r="B280">
        <v>1</v>
      </c>
    </row>
    <row r="281" spans="1:2">
      <c r="A281">
        <v>53</v>
      </c>
      <c r="B281">
        <v>1</v>
      </c>
    </row>
    <row r="282" spans="1:2">
      <c r="A282">
        <v>52</v>
      </c>
      <c r="B282">
        <v>0</v>
      </c>
    </row>
    <row r="283" spans="1:2">
      <c r="A283">
        <v>51</v>
      </c>
      <c r="B283">
        <v>1</v>
      </c>
    </row>
    <row r="284" spans="1:2">
      <c r="A284">
        <v>50</v>
      </c>
      <c r="B284">
        <v>1</v>
      </c>
    </row>
    <row r="285" spans="1:2">
      <c r="A285">
        <v>50</v>
      </c>
      <c r="B285">
        <v>1</v>
      </c>
    </row>
    <row r="286" spans="1:2">
      <c r="A286">
        <v>48</v>
      </c>
      <c r="B286">
        <v>1</v>
      </c>
    </row>
    <row r="287" spans="1:2">
      <c r="A287">
        <v>47</v>
      </c>
      <c r="B287">
        <v>1</v>
      </c>
    </row>
    <row r="288" spans="1:2">
      <c r="A288">
        <v>46</v>
      </c>
      <c r="B288">
        <v>1</v>
      </c>
    </row>
    <row r="289" spans="1:2">
      <c r="A289">
        <v>45</v>
      </c>
      <c r="B289">
        <v>0</v>
      </c>
    </row>
    <row r="290" spans="1:2">
      <c r="A290">
        <v>45</v>
      </c>
      <c r="B290">
        <v>1</v>
      </c>
    </row>
    <row r="291" spans="1:2">
      <c r="A291">
        <v>42</v>
      </c>
      <c r="B291">
        <v>1</v>
      </c>
    </row>
    <row r="292" spans="1:2">
      <c r="A292">
        <v>42</v>
      </c>
      <c r="B292">
        <v>1</v>
      </c>
    </row>
    <row r="293" spans="1:2">
      <c r="A293">
        <v>40</v>
      </c>
      <c r="B293">
        <v>1</v>
      </c>
    </row>
    <row r="294" spans="1:2">
      <c r="A294">
        <v>40</v>
      </c>
      <c r="B294">
        <v>1</v>
      </c>
    </row>
    <row r="295" spans="1:2">
      <c r="A295">
        <v>40</v>
      </c>
      <c r="B295">
        <v>1</v>
      </c>
    </row>
    <row r="296" spans="1:2">
      <c r="A296">
        <v>36</v>
      </c>
      <c r="B296">
        <v>1</v>
      </c>
    </row>
    <row r="297" spans="1:2">
      <c r="A297">
        <v>34</v>
      </c>
      <c r="B297">
        <v>1</v>
      </c>
    </row>
    <row r="298" spans="1:2">
      <c r="A298">
        <v>30</v>
      </c>
      <c r="B298">
        <v>0</v>
      </c>
    </row>
    <row r="299" spans="1:2">
      <c r="A299">
        <v>28</v>
      </c>
      <c r="B299">
        <v>1</v>
      </c>
    </row>
    <row r="300" spans="1:2">
      <c r="A300">
        <v>53</v>
      </c>
      <c r="B300">
        <v>1</v>
      </c>
    </row>
    <row r="301" spans="1:2">
      <c r="A301">
        <v>49</v>
      </c>
      <c r="B301">
        <v>1</v>
      </c>
    </row>
    <row r="302" spans="1:2">
      <c r="A302">
        <v>46</v>
      </c>
      <c r="B302">
        <v>0</v>
      </c>
    </row>
    <row r="303" spans="1:2">
      <c r="A303">
        <v>46</v>
      </c>
      <c r="B303">
        <v>1</v>
      </c>
    </row>
    <row r="304" spans="1:2">
      <c r="A304">
        <v>43</v>
      </c>
      <c r="B304">
        <v>1</v>
      </c>
    </row>
    <row r="305" spans="1:2">
      <c r="A305">
        <v>42</v>
      </c>
      <c r="B305">
        <v>1</v>
      </c>
    </row>
    <row r="306" spans="1:2">
      <c r="A306">
        <v>41</v>
      </c>
      <c r="B306">
        <v>1</v>
      </c>
    </row>
    <row r="307" spans="1:2">
      <c r="A307">
        <v>39</v>
      </c>
      <c r="B307">
        <v>1</v>
      </c>
    </row>
    <row r="308" spans="1:2">
      <c r="A308">
        <v>37</v>
      </c>
      <c r="B308">
        <v>1</v>
      </c>
    </row>
    <row r="309" spans="1:2">
      <c r="A309">
        <v>35</v>
      </c>
      <c r="B309">
        <v>1</v>
      </c>
    </row>
    <row r="310" spans="1:2">
      <c r="A310">
        <v>35</v>
      </c>
      <c r="B310">
        <v>1</v>
      </c>
    </row>
    <row r="311" spans="1:2">
      <c r="A311">
        <v>33</v>
      </c>
      <c r="B311">
        <v>1</v>
      </c>
    </row>
    <row r="312" spans="1:2">
      <c r="A312">
        <v>32</v>
      </c>
      <c r="B312">
        <v>1</v>
      </c>
    </row>
    <row r="313" spans="1:2">
      <c r="A313">
        <v>26</v>
      </c>
      <c r="B313">
        <v>1</v>
      </c>
    </row>
    <row r="314" spans="1:2">
      <c r="A314">
        <v>56</v>
      </c>
      <c r="B314">
        <v>1</v>
      </c>
    </row>
    <row r="315" spans="1:2">
      <c r="A315">
        <v>53</v>
      </c>
      <c r="B315">
        <v>1</v>
      </c>
    </row>
    <row r="316" spans="1:2">
      <c r="A316">
        <v>50</v>
      </c>
      <c r="B316">
        <v>1</v>
      </c>
    </row>
    <row r="317" spans="1:2">
      <c r="A317">
        <v>49</v>
      </c>
      <c r="B317">
        <v>1</v>
      </c>
    </row>
    <row r="318" spans="1:2">
      <c r="A318">
        <v>48</v>
      </c>
      <c r="B318">
        <v>1</v>
      </c>
    </row>
    <row r="319" spans="1:2">
      <c r="A319">
        <v>44</v>
      </c>
      <c r="B319">
        <v>1</v>
      </c>
    </row>
    <row r="320" spans="1:2">
      <c r="A320">
        <v>44</v>
      </c>
      <c r="B320">
        <v>1</v>
      </c>
    </row>
    <row r="321" spans="1:2">
      <c r="A321">
        <v>44</v>
      </c>
      <c r="B321">
        <v>1</v>
      </c>
    </row>
    <row r="322" spans="1:2">
      <c r="A322">
        <v>43</v>
      </c>
      <c r="B322">
        <v>1</v>
      </c>
    </row>
    <row r="323" spans="1:2">
      <c r="A323">
        <v>40</v>
      </c>
      <c r="B323">
        <v>1</v>
      </c>
    </row>
    <row r="324" spans="1:2">
      <c r="A324">
        <v>36</v>
      </c>
      <c r="B324">
        <v>0</v>
      </c>
    </row>
    <row r="325" spans="1:2">
      <c r="A325">
        <v>35</v>
      </c>
      <c r="B325">
        <v>1</v>
      </c>
    </row>
    <row r="326" spans="1:2">
      <c r="A326">
        <v>35</v>
      </c>
      <c r="B326">
        <v>1</v>
      </c>
    </row>
    <row r="327" spans="1:2">
      <c r="A327">
        <v>34</v>
      </c>
      <c r="B327">
        <v>1</v>
      </c>
    </row>
    <row r="328" spans="1:2">
      <c r="A328">
        <v>33</v>
      </c>
      <c r="B328">
        <v>1</v>
      </c>
    </row>
    <row r="329" spans="1:2">
      <c r="A329">
        <v>33</v>
      </c>
      <c r="B329">
        <v>1</v>
      </c>
    </row>
    <row r="330" spans="1:2">
      <c r="A330">
        <v>32</v>
      </c>
      <c r="B330">
        <v>1</v>
      </c>
    </row>
    <row r="331" spans="1:2">
      <c r="A331">
        <v>30</v>
      </c>
      <c r="B331">
        <v>1</v>
      </c>
    </row>
    <row r="332" spans="1:2">
      <c r="A332">
        <v>29</v>
      </c>
      <c r="B332">
        <v>1</v>
      </c>
    </row>
    <row r="333" spans="1:2">
      <c r="A333">
        <v>28</v>
      </c>
      <c r="B333">
        <v>1</v>
      </c>
    </row>
    <row r="334" spans="1:2">
      <c r="A334">
        <v>23</v>
      </c>
      <c r="B334">
        <v>1</v>
      </c>
    </row>
    <row r="335" spans="1:2">
      <c r="A335">
        <v>19</v>
      </c>
      <c r="B335">
        <v>1</v>
      </c>
    </row>
    <row r="336" spans="1:2">
      <c r="A336">
        <v>55</v>
      </c>
      <c r="B336">
        <v>0</v>
      </c>
    </row>
    <row r="337" spans="1:2">
      <c r="A337">
        <v>48</v>
      </c>
      <c r="B337">
        <v>1</v>
      </c>
    </row>
    <row r="338" spans="1:2">
      <c r="A338">
        <v>48</v>
      </c>
      <c r="B338">
        <v>1</v>
      </c>
    </row>
    <row r="339" spans="1:2">
      <c r="A339">
        <v>46</v>
      </c>
      <c r="B339">
        <v>1</v>
      </c>
    </row>
    <row r="340" spans="1:2">
      <c r="A340">
        <v>44</v>
      </c>
      <c r="B340">
        <v>1</v>
      </c>
    </row>
    <row r="341" spans="1:2">
      <c r="A341">
        <v>39</v>
      </c>
      <c r="B341">
        <v>1</v>
      </c>
    </row>
    <row r="342" spans="1:2">
      <c r="A342">
        <v>39</v>
      </c>
      <c r="B342">
        <v>1</v>
      </c>
    </row>
    <row r="343" spans="1:2">
      <c r="A343">
        <v>36</v>
      </c>
      <c r="B343">
        <v>1</v>
      </c>
    </row>
    <row r="344" spans="1:2">
      <c r="A344">
        <v>36</v>
      </c>
      <c r="B344">
        <v>1</v>
      </c>
    </row>
    <row r="345" spans="1:2">
      <c r="A345">
        <v>34</v>
      </c>
      <c r="B345">
        <v>1</v>
      </c>
    </row>
    <row r="346" spans="1:2">
      <c r="A346">
        <v>32</v>
      </c>
      <c r="B346">
        <v>1</v>
      </c>
    </row>
    <row r="347" spans="1:2">
      <c r="A347">
        <v>32</v>
      </c>
      <c r="B347">
        <v>1</v>
      </c>
    </row>
    <row r="348" spans="1:2">
      <c r="A348">
        <v>28</v>
      </c>
      <c r="B348">
        <v>1</v>
      </c>
    </row>
    <row r="349" spans="1:2">
      <c r="A349">
        <v>28</v>
      </c>
      <c r="B349">
        <v>1</v>
      </c>
    </row>
    <row r="350" spans="1:2">
      <c r="A350">
        <v>21</v>
      </c>
      <c r="B350">
        <v>1</v>
      </c>
    </row>
    <row r="351" spans="1:2">
      <c r="A351">
        <v>20</v>
      </c>
      <c r="B351">
        <v>1</v>
      </c>
    </row>
    <row r="352" spans="1:2">
      <c r="A352">
        <v>20</v>
      </c>
      <c r="B352">
        <v>1</v>
      </c>
    </row>
    <row r="353" spans="1:2">
      <c r="A353">
        <v>20</v>
      </c>
      <c r="B353">
        <v>1</v>
      </c>
    </row>
    <row r="354" spans="1:2">
      <c r="A354">
        <v>53</v>
      </c>
      <c r="B354">
        <v>0</v>
      </c>
    </row>
    <row r="355" spans="1:2">
      <c r="A355">
        <v>52</v>
      </c>
      <c r="B355">
        <v>1</v>
      </c>
    </row>
    <row r="356" spans="1:2">
      <c r="A356">
        <v>52</v>
      </c>
      <c r="B356">
        <v>1</v>
      </c>
    </row>
    <row r="357" spans="1:2">
      <c r="A357">
        <v>45</v>
      </c>
      <c r="B357">
        <v>0</v>
      </c>
    </row>
    <row r="358" spans="1:2">
      <c r="A358">
        <v>44</v>
      </c>
      <c r="B358">
        <v>1</v>
      </c>
    </row>
    <row r="359" spans="1:2">
      <c r="A359">
        <v>43</v>
      </c>
      <c r="B359">
        <v>1</v>
      </c>
    </row>
    <row r="360" spans="1:2">
      <c r="A360">
        <v>38</v>
      </c>
      <c r="B360">
        <v>1</v>
      </c>
    </row>
    <row r="361" spans="1:2">
      <c r="A361">
        <v>32</v>
      </c>
      <c r="B361">
        <v>1</v>
      </c>
    </row>
    <row r="362" spans="1:2">
      <c r="A362">
        <v>29</v>
      </c>
      <c r="B362">
        <v>1</v>
      </c>
    </row>
    <row r="363" spans="1:2">
      <c r="A363">
        <v>26</v>
      </c>
      <c r="B363">
        <v>1</v>
      </c>
    </row>
    <row r="364" spans="1:2">
      <c r="A364">
        <v>22</v>
      </c>
      <c r="B364">
        <v>1</v>
      </c>
    </row>
    <row r="365" spans="1:2">
      <c r="A365">
        <v>20</v>
      </c>
      <c r="B365">
        <v>1</v>
      </c>
    </row>
    <row r="366" spans="1:2">
      <c r="A366">
        <v>52</v>
      </c>
      <c r="B366">
        <v>0</v>
      </c>
    </row>
    <row r="367" spans="1:2">
      <c r="A367">
        <v>51</v>
      </c>
      <c r="B367">
        <v>0</v>
      </c>
    </row>
    <row r="368" spans="1:2">
      <c r="A368">
        <v>48</v>
      </c>
      <c r="B368">
        <v>1</v>
      </c>
    </row>
    <row r="369" spans="1:2">
      <c r="A369">
        <v>41</v>
      </c>
      <c r="B369">
        <v>1</v>
      </c>
    </row>
    <row r="370" spans="1:2">
      <c r="A370">
        <v>40</v>
      </c>
      <c r="B370">
        <v>1</v>
      </c>
    </row>
    <row r="371" spans="1:2">
      <c r="A371">
        <v>33</v>
      </c>
      <c r="B371">
        <v>1</v>
      </c>
    </row>
    <row r="372" spans="1:2">
      <c r="A372">
        <v>28</v>
      </c>
      <c r="B372">
        <v>1</v>
      </c>
    </row>
    <row r="373" spans="1:2">
      <c r="A373">
        <v>23</v>
      </c>
      <c r="B373">
        <v>1</v>
      </c>
    </row>
    <row r="374" spans="1:2">
      <c r="A374">
        <v>22</v>
      </c>
      <c r="B374">
        <v>1</v>
      </c>
    </row>
    <row r="375" spans="1:2">
      <c r="A375">
        <v>21</v>
      </c>
      <c r="B375">
        <v>1</v>
      </c>
    </row>
    <row r="376" spans="1:2">
      <c r="A376">
        <v>19</v>
      </c>
      <c r="B376">
        <v>1</v>
      </c>
    </row>
    <row r="377" spans="1:2">
      <c r="A377">
        <v>56</v>
      </c>
      <c r="B377">
        <v>1</v>
      </c>
    </row>
    <row r="378" spans="1:2">
      <c r="A378">
        <v>48</v>
      </c>
      <c r="B378">
        <v>1</v>
      </c>
    </row>
    <row r="379" spans="1:2">
      <c r="A379">
        <v>43</v>
      </c>
      <c r="B379">
        <v>1</v>
      </c>
    </row>
    <row r="380" spans="1:2">
      <c r="A380">
        <v>42</v>
      </c>
      <c r="B380">
        <v>1</v>
      </c>
    </row>
    <row r="381" spans="1:2">
      <c r="A381">
        <v>36</v>
      </c>
      <c r="B381">
        <v>1</v>
      </c>
    </row>
    <row r="382" spans="1:2">
      <c r="A382">
        <v>34</v>
      </c>
      <c r="B382">
        <v>1</v>
      </c>
    </row>
    <row r="383" spans="1:2">
      <c r="A383">
        <v>21</v>
      </c>
      <c r="B383">
        <v>1</v>
      </c>
    </row>
    <row r="384" spans="1:2">
      <c r="A384">
        <v>54</v>
      </c>
      <c r="B384">
        <v>1</v>
      </c>
    </row>
    <row r="385" spans="1:2">
      <c r="A385">
        <v>52</v>
      </c>
      <c r="B385">
        <v>0</v>
      </c>
    </row>
    <row r="386" spans="1:2">
      <c r="A386">
        <v>48</v>
      </c>
      <c r="B386">
        <v>0</v>
      </c>
    </row>
    <row r="387" spans="1:2">
      <c r="A387">
        <v>47</v>
      </c>
      <c r="B387">
        <v>0</v>
      </c>
    </row>
    <row r="388" spans="1:2">
      <c r="A388">
        <v>47</v>
      </c>
      <c r="B388">
        <v>0</v>
      </c>
    </row>
    <row r="389" spans="1:2">
      <c r="A389">
        <v>44</v>
      </c>
      <c r="B389">
        <v>1</v>
      </c>
    </row>
    <row r="390" spans="1:2">
      <c r="A390">
        <v>44</v>
      </c>
      <c r="B390">
        <v>1</v>
      </c>
    </row>
    <row r="391" spans="1:2">
      <c r="A391">
        <v>40</v>
      </c>
      <c r="B391">
        <v>1</v>
      </c>
    </row>
    <row r="392" spans="1:2">
      <c r="A392">
        <v>27</v>
      </c>
      <c r="B392">
        <v>1</v>
      </c>
    </row>
    <row r="393" spans="1:2">
      <c r="A393">
        <v>24</v>
      </c>
      <c r="B393">
        <v>1</v>
      </c>
    </row>
    <row r="394" spans="1:2">
      <c r="A394">
        <v>24</v>
      </c>
      <c r="B394">
        <v>1</v>
      </c>
    </row>
    <row r="395" spans="1:2">
      <c r="A395">
        <v>19</v>
      </c>
      <c r="B395">
        <v>1</v>
      </c>
    </row>
    <row r="396" spans="1:2">
      <c r="A396">
        <v>54</v>
      </c>
      <c r="B396">
        <v>1</v>
      </c>
    </row>
    <row r="397" spans="1:2">
      <c r="A397">
        <v>50</v>
      </c>
      <c r="B397">
        <v>0</v>
      </c>
    </row>
    <row r="398" spans="1:2">
      <c r="A398">
        <v>49</v>
      </c>
      <c r="B398">
        <v>1</v>
      </c>
    </row>
    <row r="399" spans="1:2">
      <c r="A399">
        <v>41</v>
      </c>
      <c r="B399">
        <v>1</v>
      </c>
    </row>
    <row r="400" spans="1:2">
      <c r="A400">
        <v>39</v>
      </c>
      <c r="B400">
        <v>1</v>
      </c>
    </row>
    <row r="401" spans="1:2">
      <c r="A401">
        <v>38</v>
      </c>
      <c r="B401">
        <v>1</v>
      </c>
    </row>
    <row r="402" spans="1:2">
      <c r="A402">
        <v>35</v>
      </c>
      <c r="B402">
        <v>1</v>
      </c>
    </row>
    <row r="403" spans="1:2">
      <c r="A403">
        <v>30</v>
      </c>
      <c r="B403">
        <v>1</v>
      </c>
    </row>
    <row r="404" spans="1:2">
      <c r="A404">
        <v>28</v>
      </c>
      <c r="B404">
        <v>1</v>
      </c>
    </row>
    <row r="405" spans="1:2">
      <c r="A405">
        <v>49</v>
      </c>
      <c r="B405">
        <v>1</v>
      </c>
    </row>
    <row r="406" spans="1:2">
      <c r="A406">
        <v>49</v>
      </c>
      <c r="B406">
        <v>1</v>
      </c>
    </row>
    <row r="407" spans="1:2">
      <c r="A407">
        <v>46</v>
      </c>
      <c r="B407">
        <v>1</v>
      </c>
    </row>
    <row r="408" spans="1:2">
      <c r="A408">
        <v>44</v>
      </c>
      <c r="B408">
        <v>0</v>
      </c>
    </row>
    <row r="409" spans="1:2">
      <c r="A409">
        <v>43</v>
      </c>
      <c r="B409">
        <v>1</v>
      </c>
    </row>
    <row r="410" spans="1:2">
      <c r="A410">
        <v>43</v>
      </c>
      <c r="B410">
        <v>1</v>
      </c>
    </row>
    <row r="411" spans="1:2">
      <c r="A411">
        <v>41</v>
      </c>
      <c r="B411">
        <v>1</v>
      </c>
    </row>
    <row r="412" spans="1:2">
      <c r="A412">
        <v>38</v>
      </c>
      <c r="B412">
        <v>1</v>
      </c>
    </row>
    <row r="413" spans="1:2">
      <c r="A413">
        <v>37</v>
      </c>
      <c r="B413">
        <v>1</v>
      </c>
    </row>
    <row r="414" spans="1:2">
      <c r="A414">
        <v>35</v>
      </c>
      <c r="B414">
        <v>0</v>
      </c>
    </row>
    <row r="415" spans="1:2">
      <c r="A415">
        <v>34</v>
      </c>
      <c r="B415">
        <v>1</v>
      </c>
    </row>
    <row r="416" spans="1:2">
      <c r="A416">
        <v>34</v>
      </c>
      <c r="B416">
        <v>1</v>
      </c>
    </row>
    <row r="417" spans="1:2">
      <c r="A417">
        <v>32</v>
      </c>
      <c r="B417">
        <v>1</v>
      </c>
    </row>
    <row r="418" spans="1:2">
      <c r="A418">
        <v>31</v>
      </c>
      <c r="B418">
        <v>1</v>
      </c>
    </row>
    <row r="419" spans="1:2">
      <c r="A419">
        <v>29</v>
      </c>
      <c r="B419">
        <v>1</v>
      </c>
    </row>
    <row r="420" spans="1:2">
      <c r="A420">
        <v>29</v>
      </c>
      <c r="B420">
        <v>1</v>
      </c>
    </row>
    <row r="421" spans="1:2">
      <c r="A421">
        <v>25</v>
      </c>
      <c r="B421">
        <v>1</v>
      </c>
    </row>
    <row r="422" spans="1:2">
      <c r="A422">
        <v>24</v>
      </c>
      <c r="B422">
        <v>1</v>
      </c>
    </row>
    <row r="423" spans="1:2">
      <c r="A423">
        <v>24</v>
      </c>
      <c r="B423">
        <v>1</v>
      </c>
    </row>
    <row r="424" spans="1:2">
      <c r="A424">
        <v>22</v>
      </c>
      <c r="B424">
        <v>1</v>
      </c>
    </row>
    <row r="425" spans="1:2">
      <c r="A425">
        <v>20</v>
      </c>
      <c r="B425">
        <v>1</v>
      </c>
    </row>
    <row r="426" spans="1:2">
      <c r="A426">
        <v>57</v>
      </c>
      <c r="B426">
        <v>1</v>
      </c>
    </row>
    <row r="427" spans="1:2">
      <c r="A427">
        <v>52</v>
      </c>
      <c r="B427">
        <v>1</v>
      </c>
    </row>
    <row r="428" spans="1:2">
      <c r="A428">
        <v>48</v>
      </c>
      <c r="B428">
        <v>0</v>
      </c>
    </row>
    <row r="429" spans="1:2">
      <c r="A429">
        <v>48</v>
      </c>
      <c r="B429">
        <v>1</v>
      </c>
    </row>
    <row r="430" spans="1:2">
      <c r="A430">
        <v>46</v>
      </c>
      <c r="B430">
        <v>0</v>
      </c>
    </row>
    <row r="431" spans="1:2">
      <c r="A431">
        <v>46</v>
      </c>
      <c r="B431">
        <v>1</v>
      </c>
    </row>
    <row r="432" spans="1:2">
      <c r="A432">
        <v>46</v>
      </c>
      <c r="B432">
        <v>1</v>
      </c>
    </row>
    <row r="433" spans="1:2">
      <c r="A433">
        <v>45</v>
      </c>
      <c r="B433">
        <v>0</v>
      </c>
    </row>
    <row r="434" spans="1:2">
      <c r="A434">
        <v>45</v>
      </c>
      <c r="B434">
        <v>0</v>
      </c>
    </row>
    <row r="435" spans="1:2">
      <c r="A435">
        <v>45</v>
      </c>
      <c r="B435">
        <v>1</v>
      </c>
    </row>
    <row r="436" spans="1:2">
      <c r="A436">
        <v>43</v>
      </c>
      <c r="B436">
        <v>1</v>
      </c>
    </row>
    <row r="437" spans="1:2">
      <c r="A437">
        <v>41</v>
      </c>
      <c r="B437">
        <v>1</v>
      </c>
    </row>
    <row r="438" spans="1:2">
      <c r="A438">
        <v>40</v>
      </c>
      <c r="B438">
        <v>1</v>
      </c>
    </row>
    <row r="439" spans="1:2">
      <c r="A439">
        <v>40</v>
      </c>
      <c r="B439">
        <v>1</v>
      </c>
    </row>
    <row r="440" spans="1:2">
      <c r="A440">
        <v>28</v>
      </c>
      <c r="B440">
        <v>1</v>
      </c>
    </row>
    <row r="441" spans="1:2">
      <c r="A441">
        <v>26</v>
      </c>
      <c r="B441">
        <v>1</v>
      </c>
    </row>
    <row r="442" spans="1:2">
      <c r="A442">
        <v>22</v>
      </c>
      <c r="B442">
        <v>1</v>
      </c>
    </row>
    <row r="443" spans="1:2">
      <c r="A443">
        <v>50</v>
      </c>
      <c r="B443">
        <v>1</v>
      </c>
    </row>
    <row r="444" spans="1:2">
      <c r="A444">
        <v>42</v>
      </c>
      <c r="B444">
        <v>1</v>
      </c>
    </row>
    <row r="445" spans="1:2">
      <c r="A445">
        <v>37</v>
      </c>
      <c r="B445">
        <v>1</v>
      </c>
    </row>
    <row r="446" spans="1:2">
      <c r="A446">
        <v>39</v>
      </c>
      <c r="B446">
        <v>1</v>
      </c>
    </row>
    <row r="447" spans="1:2">
      <c r="A447">
        <v>34</v>
      </c>
      <c r="B447">
        <v>1</v>
      </c>
    </row>
    <row r="448" spans="1:2">
      <c r="A448">
        <v>34</v>
      </c>
      <c r="B448">
        <v>1</v>
      </c>
    </row>
    <row r="449" spans="1:2">
      <c r="A449">
        <v>53</v>
      </c>
      <c r="B449">
        <v>0</v>
      </c>
    </row>
    <row r="450" spans="1:2">
      <c r="A450">
        <v>50</v>
      </c>
      <c r="B450">
        <v>0</v>
      </c>
    </row>
    <row r="451" spans="1:2">
      <c r="A451">
        <v>49</v>
      </c>
      <c r="B451">
        <v>0</v>
      </c>
    </row>
    <row r="452" spans="1:2">
      <c r="A452">
        <v>46</v>
      </c>
      <c r="B452">
        <v>1</v>
      </c>
    </row>
    <row r="453" spans="1:2">
      <c r="A453">
        <v>38</v>
      </c>
      <c r="B453">
        <v>1</v>
      </c>
    </row>
    <row r="454" spans="1:2">
      <c r="A454">
        <v>36</v>
      </c>
      <c r="B454">
        <v>1</v>
      </c>
    </row>
    <row r="455" spans="1:2">
      <c r="A455">
        <v>35</v>
      </c>
      <c r="B455">
        <v>0</v>
      </c>
    </row>
    <row r="456" spans="1:2">
      <c r="A456">
        <v>35</v>
      </c>
      <c r="B456">
        <v>1</v>
      </c>
    </row>
    <row r="457" spans="1:2">
      <c r="A457">
        <v>29</v>
      </c>
      <c r="B457">
        <v>0</v>
      </c>
    </row>
    <row r="458" spans="1:2">
      <c r="A458">
        <v>28</v>
      </c>
      <c r="B458">
        <v>1</v>
      </c>
    </row>
    <row r="459" spans="1:2">
      <c r="A459">
        <v>28</v>
      </c>
      <c r="B459">
        <v>1</v>
      </c>
    </row>
    <row r="460" spans="1:2">
      <c r="A460">
        <v>28</v>
      </c>
      <c r="B460">
        <v>1</v>
      </c>
    </row>
    <row r="461" spans="1:2">
      <c r="A461">
        <v>27</v>
      </c>
      <c r="B461">
        <v>1</v>
      </c>
    </row>
    <row r="462" spans="1:2">
      <c r="A462">
        <v>20</v>
      </c>
      <c r="B462">
        <v>1</v>
      </c>
    </row>
    <row r="463" spans="1:2">
      <c r="A463">
        <v>49</v>
      </c>
      <c r="B463">
        <v>1</v>
      </c>
    </row>
    <row r="464" spans="1:2">
      <c r="A464">
        <v>48</v>
      </c>
      <c r="B464">
        <v>1</v>
      </c>
    </row>
    <row r="465" spans="1:2">
      <c r="A465">
        <v>44</v>
      </c>
      <c r="B465">
        <v>1</v>
      </c>
    </row>
    <row r="466" spans="1:2">
      <c r="A466">
        <v>41</v>
      </c>
      <c r="B466">
        <v>1</v>
      </c>
    </row>
    <row r="467" spans="1:2">
      <c r="A467">
        <v>39</v>
      </c>
      <c r="B467">
        <v>1</v>
      </c>
    </row>
    <row r="468" spans="1:2">
      <c r="A468">
        <v>37</v>
      </c>
      <c r="B468">
        <v>0</v>
      </c>
    </row>
    <row r="469" spans="1:2">
      <c r="A469">
        <v>35</v>
      </c>
      <c r="B469">
        <v>1</v>
      </c>
    </row>
    <row r="470" spans="1:2">
      <c r="A470">
        <v>33</v>
      </c>
      <c r="B470">
        <v>1</v>
      </c>
    </row>
    <row r="471" spans="1:2">
      <c r="A471">
        <v>27</v>
      </c>
      <c r="B471">
        <v>1</v>
      </c>
    </row>
    <row r="472" spans="1:2">
      <c r="A472">
        <v>25</v>
      </c>
      <c r="B472">
        <v>1</v>
      </c>
    </row>
    <row r="473" spans="1:2">
      <c r="A473">
        <v>21</v>
      </c>
      <c r="B473">
        <v>1</v>
      </c>
    </row>
    <row r="474" spans="1:2">
      <c r="A474">
        <v>21</v>
      </c>
      <c r="B474">
        <v>1</v>
      </c>
    </row>
    <row r="475" spans="1:2">
      <c r="A475">
        <v>21</v>
      </c>
      <c r="B475">
        <v>1</v>
      </c>
    </row>
    <row r="476" spans="1:2">
      <c r="A476">
        <v>51</v>
      </c>
      <c r="B476">
        <v>1</v>
      </c>
    </row>
    <row r="477" spans="1:2">
      <c r="A477">
        <v>49</v>
      </c>
      <c r="B477">
        <v>0</v>
      </c>
    </row>
    <row r="478" spans="1:2">
      <c r="A478">
        <v>47</v>
      </c>
      <c r="B478">
        <v>0</v>
      </c>
    </row>
    <row r="479" spans="1:2">
      <c r="A479">
        <v>43</v>
      </c>
      <c r="B479">
        <v>0</v>
      </c>
    </row>
    <row r="480" spans="1:2">
      <c r="A480">
        <v>41</v>
      </c>
      <c r="B480">
        <v>1</v>
      </c>
    </row>
    <row r="481" spans="1:2">
      <c r="A481">
        <v>40</v>
      </c>
      <c r="B481">
        <v>1</v>
      </c>
    </row>
    <row r="482" spans="1:2">
      <c r="A482">
        <v>30</v>
      </c>
      <c r="B482">
        <v>1</v>
      </c>
    </row>
    <row r="483" spans="1:2">
      <c r="A483">
        <v>25</v>
      </c>
      <c r="B483">
        <v>1</v>
      </c>
    </row>
    <row r="484" spans="1:2">
      <c r="A484">
        <v>25</v>
      </c>
      <c r="B484">
        <v>1</v>
      </c>
    </row>
    <row r="485" spans="1:2">
      <c r="A485">
        <v>25</v>
      </c>
      <c r="B485">
        <v>1</v>
      </c>
    </row>
    <row r="486" spans="1:2">
      <c r="A486">
        <v>52</v>
      </c>
      <c r="B486">
        <v>1</v>
      </c>
    </row>
    <row r="487" spans="1:2">
      <c r="A487">
        <v>52</v>
      </c>
      <c r="B487">
        <v>1</v>
      </c>
    </row>
    <row r="488" spans="1:2">
      <c r="A488">
        <v>51</v>
      </c>
      <c r="B488">
        <v>1</v>
      </c>
    </row>
    <row r="489" spans="1:2">
      <c r="A489">
        <v>46</v>
      </c>
      <c r="B489">
        <v>1</v>
      </c>
    </row>
    <row r="490" spans="1:2">
      <c r="A490">
        <v>40</v>
      </c>
      <c r="B490">
        <v>1</v>
      </c>
    </row>
    <row r="491" spans="1:2">
      <c r="A491">
        <v>38</v>
      </c>
      <c r="B491">
        <v>0</v>
      </c>
    </row>
    <row r="492" spans="1:2">
      <c r="A492">
        <v>38</v>
      </c>
      <c r="B492">
        <v>1</v>
      </c>
    </row>
    <row r="493" spans="1:2">
      <c r="A493">
        <v>36</v>
      </c>
      <c r="B493">
        <v>1</v>
      </c>
    </row>
    <row r="494" spans="1:2">
      <c r="A494">
        <v>33</v>
      </c>
      <c r="B494">
        <v>1</v>
      </c>
    </row>
    <row r="495" spans="1:2">
      <c r="A495">
        <v>33</v>
      </c>
      <c r="B495">
        <v>1</v>
      </c>
    </row>
    <row r="496" spans="1:2">
      <c r="A496">
        <v>29</v>
      </c>
      <c r="B496">
        <v>1</v>
      </c>
    </row>
    <row r="497" spans="1:2">
      <c r="A497">
        <v>29</v>
      </c>
      <c r="B497">
        <v>1</v>
      </c>
    </row>
    <row r="498" spans="1:2">
      <c r="A498">
        <v>29</v>
      </c>
      <c r="B498">
        <v>1</v>
      </c>
    </row>
    <row r="499" spans="1:2">
      <c r="A499">
        <v>25</v>
      </c>
      <c r="B499">
        <v>1</v>
      </c>
    </row>
    <row r="500" spans="1:2">
      <c r="A500">
        <v>23</v>
      </c>
      <c r="B500">
        <v>1</v>
      </c>
    </row>
    <row r="501" spans="1:2">
      <c r="A501">
        <v>20</v>
      </c>
      <c r="B501">
        <v>1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5BC675-E638-1E46-8F16-374728594FA9}">
  <dimension ref="A1:J501"/>
  <sheetViews>
    <sheetView workbookViewId="0">
      <selection activeCell="I11" sqref="I11"/>
    </sheetView>
  </sheetViews>
  <sheetFormatPr baseColWidth="10" defaultRowHeight="15"/>
  <cols>
    <col min="1" max="1" width="8.5" bestFit="1" customWidth="1"/>
    <col min="2" max="2" width="12.5" bestFit="1" customWidth="1"/>
    <col min="8" max="8" width="12.5" bestFit="1" customWidth="1"/>
  </cols>
  <sheetData>
    <row r="1" spans="1:10">
      <c r="A1" t="s">
        <v>0</v>
      </c>
      <c r="B1" t="s">
        <v>2</v>
      </c>
      <c r="C1" t="s">
        <v>5</v>
      </c>
      <c r="D1" s="1" t="s">
        <v>6</v>
      </c>
      <c r="E1" s="1" t="s">
        <v>7</v>
      </c>
      <c r="F1" s="2" t="s">
        <v>8</v>
      </c>
    </row>
    <row r="2" spans="1:10">
      <c r="A2">
        <v>54</v>
      </c>
      <c r="B2">
        <v>1</v>
      </c>
      <c r="C2">
        <f>A2*$J$4+$J$3</f>
        <v>0.44428237662237624</v>
      </c>
      <c r="D2" s="3">
        <f>EXP(C2)</f>
        <v>1.5593707533046897</v>
      </c>
      <c r="E2" s="3">
        <f>D2/(1+D2)</f>
        <v>0.60927896096773471</v>
      </c>
      <c r="F2" s="4">
        <f t="shared" ref="F2" si="0">B2*LN(E2)+(1-B2)*LN(1-E2)</f>
        <v>-0.49547905216509336</v>
      </c>
      <c r="J2" t="s">
        <v>1</v>
      </c>
    </row>
    <row r="3" spans="1:10">
      <c r="A3">
        <v>52</v>
      </c>
      <c r="B3">
        <v>0</v>
      </c>
      <c r="C3">
        <f t="shared" ref="C3:C66" si="1">A3*$J$4+$J$3</f>
        <v>0.63883822798067769</v>
      </c>
      <c r="D3" s="3">
        <f t="shared" ref="D3:D66" si="2">EXP(C3)</f>
        <v>1.8942788802423163</v>
      </c>
      <c r="E3" s="3">
        <f>D3/(1+D3)</f>
        <v>0.65449079325891446</v>
      </c>
      <c r="F3" s="4">
        <f>B3*LN(E3)+(1-B3)*LN(1-E3)</f>
        <v>-1.0627359885430985</v>
      </c>
      <c r="I3" t="s">
        <v>3</v>
      </c>
      <c r="J3">
        <v>5.6972903632965277</v>
      </c>
    </row>
    <row r="4" spans="1:10">
      <c r="A4">
        <v>48</v>
      </c>
      <c r="B4">
        <v>0</v>
      </c>
      <c r="C4">
        <f t="shared" si="1"/>
        <v>1.0279499306972815</v>
      </c>
      <c r="D4" s="3">
        <f t="shared" si="2"/>
        <v>2.7953293377337407</v>
      </c>
      <c r="E4" s="3">
        <f t="shared" ref="E4:E66" si="3">D4/(1+D4)</f>
        <v>0.73651825414520733</v>
      </c>
      <c r="F4" s="4">
        <f t="shared" ref="F4:F66" si="4">B4*LN(E4)+(1-B4)*LN(1-E4)</f>
        <v>-1.3337711890937782</v>
      </c>
      <c r="I4" t="s">
        <v>4</v>
      </c>
      <c r="J4">
        <v>-9.7277925679150959E-2</v>
      </c>
    </row>
    <row r="5" spans="1:10">
      <c r="A5">
        <v>47</v>
      </c>
      <c r="B5">
        <v>1</v>
      </c>
      <c r="C5">
        <f t="shared" si="1"/>
        <v>1.1252278563764326</v>
      </c>
      <c r="D5" s="3">
        <f t="shared" si="2"/>
        <v>3.0809187759340886</v>
      </c>
      <c r="E5" s="3">
        <f t="shared" si="3"/>
        <v>0.75495714202958897</v>
      </c>
      <c r="F5" s="4">
        <f t="shared" si="4"/>
        <v>-0.28109429686805887</v>
      </c>
    </row>
    <row r="6" spans="1:10">
      <c r="A6">
        <v>41</v>
      </c>
      <c r="B6">
        <v>1</v>
      </c>
      <c r="C6">
        <f t="shared" si="1"/>
        <v>1.7088954104513383</v>
      </c>
      <c r="D6" s="3">
        <f t="shared" si="2"/>
        <v>5.5228576163121925</v>
      </c>
      <c r="E6" s="3">
        <f t="shared" si="3"/>
        <v>0.84669295900324026</v>
      </c>
      <c r="F6" s="4">
        <f t="shared" si="4"/>
        <v>-0.16641715417899317</v>
      </c>
    </row>
    <row r="7" spans="1:10">
      <c r="A7">
        <v>39</v>
      </c>
      <c r="B7">
        <v>0</v>
      </c>
      <c r="C7">
        <f>A7*$J$4+$J$3</f>
        <v>1.9034512618096402</v>
      </c>
      <c r="D7" s="3">
        <f t="shared" si="2"/>
        <v>6.7090090788187604</v>
      </c>
      <c r="E7" s="3">
        <f t="shared" si="3"/>
        <v>0.87028164193662771</v>
      </c>
      <c r="F7" s="4">
        <f t="shared" si="4"/>
        <v>-2.0423896551672818</v>
      </c>
    </row>
    <row r="8" spans="1:10">
      <c r="A8">
        <v>38</v>
      </c>
      <c r="B8">
        <v>1</v>
      </c>
      <c r="C8">
        <f t="shared" si="1"/>
        <v>2.0007291874887914</v>
      </c>
      <c r="D8" s="3">
        <f t="shared" si="2"/>
        <v>7.3944460711032773</v>
      </c>
      <c r="E8" s="3">
        <f t="shared" si="3"/>
        <v>0.88087361673066633</v>
      </c>
      <c r="F8" s="4">
        <f t="shared" si="4"/>
        <v>-0.12684111767174036</v>
      </c>
    </row>
    <row r="9" spans="1:10">
      <c r="A9">
        <v>35</v>
      </c>
      <c r="B9">
        <v>0</v>
      </c>
      <c r="C9">
        <f t="shared" si="1"/>
        <v>2.292562964526244</v>
      </c>
      <c r="D9" s="3">
        <f t="shared" si="2"/>
        <v>9.9002792570569653</v>
      </c>
      <c r="E9" s="3">
        <f t="shared" si="3"/>
        <v>0.90825923112450646</v>
      </c>
      <c r="F9" s="4">
        <f t="shared" si="4"/>
        <v>-2.388788408820397</v>
      </c>
    </row>
    <row r="10" spans="1:10">
      <c r="A10">
        <v>31</v>
      </c>
      <c r="B10">
        <v>1</v>
      </c>
      <c r="C10">
        <f t="shared" si="1"/>
        <v>2.6816746672428482</v>
      </c>
      <c r="D10" s="3">
        <f t="shared" si="2"/>
        <v>14.609538937301574</v>
      </c>
      <c r="E10" s="3">
        <f t="shared" si="3"/>
        <v>0.93593660876104834</v>
      </c>
      <c r="F10" s="4">
        <f t="shared" si="4"/>
        <v>-6.6207530480673266E-2</v>
      </c>
    </row>
    <row r="11" spans="1:10">
      <c r="A11">
        <v>24</v>
      </c>
      <c r="B11">
        <v>1</v>
      </c>
      <c r="C11">
        <f t="shared" si="1"/>
        <v>3.3626201469969046</v>
      </c>
      <c r="D11" s="3">
        <f t="shared" si="2"/>
        <v>28.864721698982507</v>
      </c>
      <c r="E11" s="3">
        <f t="shared" si="3"/>
        <v>0.96651567658726689</v>
      </c>
      <c r="F11" s="4">
        <f t="shared" si="4"/>
        <v>-3.405776050950781E-2</v>
      </c>
      <c r="H11" t="s">
        <v>9</v>
      </c>
      <c r="I11" s="5">
        <f>SUM(F2:F501)</f>
        <v>-193.81927082959754</v>
      </c>
    </row>
    <row r="12" spans="1:10">
      <c r="A12">
        <v>23</v>
      </c>
      <c r="B12">
        <v>1</v>
      </c>
      <c r="C12">
        <f t="shared" si="1"/>
        <v>3.4598980726760558</v>
      </c>
      <c r="D12" s="3">
        <f t="shared" si="2"/>
        <v>31.813733660666077</v>
      </c>
      <c r="E12" s="3">
        <f t="shared" si="3"/>
        <v>0.96952495530252014</v>
      </c>
      <c r="F12" s="4">
        <f t="shared" si="4"/>
        <v>-3.0949064246469118E-2</v>
      </c>
    </row>
    <row r="13" spans="1:10">
      <c r="A13">
        <v>44</v>
      </c>
      <c r="B13">
        <v>0</v>
      </c>
      <c r="C13">
        <f t="shared" si="1"/>
        <v>1.4170616334138852</v>
      </c>
      <c r="D13" s="3">
        <f t="shared" si="2"/>
        <v>4.1249819062520521</v>
      </c>
      <c r="E13" s="3">
        <f t="shared" si="3"/>
        <v>0.80487735990246456</v>
      </c>
      <c r="F13" s="4">
        <f t="shared" si="4"/>
        <v>-1.634126994530835</v>
      </c>
    </row>
    <row r="14" spans="1:10">
      <c r="A14">
        <v>44</v>
      </c>
      <c r="B14">
        <v>0</v>
      </c>
      <c r="C14">
        <f t="shared" si="1"/>
        <v>1.4170616334138852</v>
      </c>
      <c r="D14" s="3">
        <f t="shared" si="2"/>
        <v>4.1249819062520521</v>
      </c>
      <c r="E14" s="3">
        <f t="shared" si="3"/>
        <v>0.80487735990246456</v>
      </c>
      <c r="F14" s="4">
        <f t="shared" si="4"/>
        <v>-1.634126994530835</v>
      </c>
    </row>
    <row r="15" spans="1:10">
      <c r="A15">
        <v>43</v>
      </c>
      <c r="B15">
        <v>0</v>
      </c>
      <c r="C15">
        <f t="shared" si="1"/>
        <v>1.5143395590930364</v>
      </c>
      <c r="D15" s="3">
        <f t="shared" si="2"/>
        <v>4.5464174950003198</v>
      </c>
      <c r="E15" s="3">
        <f t="shared" si="3"/>
        <v>0.81970343903944753</v>
      </c>
      <c r="F15" s="4">
        <f t="shared" si="4"/>
        <v>-1.7131522229395102</v>
      </c>
    </row>
    <row r="16" spans="1:10">
      <c r="A16">
        <v>41</v>
      </c>
      <c r="B16">
        <v>1</v>
      </c>
      <c r="C16">
        <f t="shared" si="1"/>
        <v>1.7088954104513383</v>
      </c>
      <c r="D16" s="3">
        <f t="shared" si="2"/>
        <v>5.5228576163121925</v>
      </c>
      <c r="E16" s="3">
        <f t="shared" si="3"/>
        <v>0.84669295900324026</v>
      </c>
      <c r="F16" s="4">
        <f t="shared" si="4"/>
        <v>-0.16641715417899317</v>
      </c>
    </row>
    <row r="17" spans="1:6">
      <c r="A17">
        <v>29</v>
      </c>
      <c r="B17">
        <v>1</v>
      </c>
      <c r="C17">
        <f t="shared" si="1"/>
        <v>2.8762305186011501</v>
      </c>
      <c r="D17" s="3">
        <f t="shared" si="2"/>
        <v>17.747249010768609</v>
      </c>
      <c r="E17" s="3">
        <f t="shared" si="3"/>
        <v>0.94665884048237747</v>
      </c>
      <c r="F17" s="4">
        <f t="shared" si="4"/>
        <v>-5.481650362524778E-2</v>
      </c>
    </row>
    <row r="18" spans="1:6">
      <c r="A18">
        <v>28</v>
      </c>
      <c r="B18">
        <v>1</v>
      </c>
      <c r="C18">
        <f t="shared" si="1"/>
        <v>2.9735084442803008</v>
      </c>
      <c r="D18" s="3">
        <f t="shared" si="2"/>
        <v>19.560426015055413</v>
      </c>
      <c r="E18" s="3">
        <f t="shared" si="3"/>
        <v>0.95136287549354537</v>
      </c>
      <c r="F18" s="4">
        <f t="shared" si="4"/>
        <v>-4.9859716668620373E-2</v>
      </c>
    </row>
    <row r="19" spans="1:6">
      <c r="A19">
        <v>56</v>
      </c>
      <c r="B19">
        <v>0</v>
      </c>
      <c r="C19">
        <f t="shared" si="1"/>
        <v>0.24972652526407391</v>
      </c>
      <c r="D19" s="3">
        <f t="shared" si="2"/>
        <v>1.283674316186737</v>
      </c>
      <c r="E19" s="3">
        <f t="shared" si="3"/>
        <v>0.56210918828837519</v>
      </c>
      <c r="F19" s="4">
        <f t="shared" si="4"/>
        <v>-0.82578568801281527</v>
      </c>
    </row>
    <row r="20" spans="1:6">
      <c r="A20">
        <v>50</v>
      </c>
      <c r="B20">
        <v>1</v>
      </c>
      <c r="C20">
        <f t="shared" si="1"/>
        <v>0.83339407933898002</v>
      </c>
      <c r="D20" s="3">
        <f t="shared" si="2"/>
        <v>2.3011156702327611</v>
      </c>
      <c r="E20" s="3">
        <f t="shared" si="3"/>
        <v>0.69707211140241865</v>
      </c>
      <c r="F20" s="4">
        <f t="shared" si="4"/>
        <v>-0.36086641388536594</v>
      </c>
    </row>
    <row r="21" spans="1:6">
      <c r="A21">
        <v>49</v>
      </c>
      <c r="B21">
        <v>0</v>
      </c>
      <c r="C21">
        <f t="shared" si="1"/>
        <v>0.9306720050181303</v>
      </c>
      <c r="D21" s="3">
        <f t="shared" si="2"/>
        <v>2.5362129529123676</v>
      </c>
      <c r="E21" s="3">
        <f t="shared" si="3"/>
        <v>0.7172116008521443</v>
      </c>
      <c r="F21" s="4">
        <f t="shared" si="4"/>
        <v>-1.2630563672019133</v>
      </c>
    </row>
    <row r="22" spans="1:6">
      <c r="A22">
        <v>49</v>
      </c>
      <c r="B22">
        <v>1</v>
      </c>
      <c r="C22">
        <f t="shared" si="1"/>
        <v>0.9306720050181303</v>
      </c>
      <c r="D22" s="3">
        <f t="shared" si="2"/>
        <v>2.5362129529123676</v>
      </c>
      <c r="E22" s="3">
        <f t="shared" si="3"/>
        <v>0.7172116008521443</v>
      </c>
      <c r="F22" s="4">
        <f t="shared" si="4"/>
        <v>-0.33238436218378298</v>
      </c>
    </row>
    <row r="23" spans="1:6">
      <c r="A23">
        <v>46</v>
      </c>
      <c r="B23">
        <v>1</v>
      </c>
      <c r="C23">
        <f t="shared" si="1"/>
        <v>1.2225057820555838</v>
      </c>
      <c r="D23" s="3">
        <f t="shared" si="2"/>
        <v>3.3956859307314069</v>
      </c>
      <c r="E23" s="3">
        <f t="shared" si="3"/>
        <v>0.77250421987414186</v>
      </c>
      <c r="F23" s="4">
        <f t="shared" si="4"/>
        <v>-0.25811780760490821</v>
      </c>
    </row>
    <row r="24" spans="1:6">
      <c r="A24">
        <v>45</v>
      </c>
      <c r="B24">
        <v>1</v>
      </c>
      <c r="C24">
        <f t="shared" si="1"/>
        <v>1.319783707734735</v>
      </c>
      <c r="D24" s="3">
        <f t="shared" si="2"/>
        <v>3.7426117917280339</v>
      </c>
      <c r="E24" s="3">
        <f t="shared" si="3"/>
        <v>0.78914571887494989</v>
      </c>
      <c r="F24" s="4">
        <f t="shared" si="4"/>
        <v>-0.23680428713456608</v>
      </c>
    </row>
    <row r="25" spans="1:6">
      <c r="A25">
        <v>45</v>
      </c>
      <c r="B25">
        <v>1</v>
      </c>
      <c r="C25">
        <f t="shared" si="1"/>
        <v>1.319783707734735</v>
      </c>
      <c r="D25" s="3">
        <f t="shared" si="2"/>
        <v>3.7426117917280339</v>
      </c>
      <c r="E25" s="3">
        <f t="shared" si="3"/>
        <v>0.78914571887494989</v>
      </c>
      <c r="F25" s="4">
        <f t="shared" si="4"/>
        <v>-0.23680428713456608</v>
      </c>
    </row>
    <row r="26" spans="1:6">
      <c r="A26">
        <v>44</v>
      </c>
      <c r="B26">
        <v>1</v>
      </c>
      <c r="C26">
        <f t="shared" si="1"/>
        <v>1.4170616334138852</v>
      </c>
      <c r="D26" s="3">
        <f t="shared" si="2"/>
        <v>4.1249819062520521</v>
      </c>
      <c r="E26" s="3">
        <f t="shared" si="3"/>
        <v>0.80487735990246456</v>
      </c>
      <c r="F26" s="4">
        <f t="shared" si="4"/>
        <v>-0.21706536111694999</v>
      </c>
    </row>
    <row r="27" spans="1:6">
      <c r="A27">
        <v>43</v>
      </c>
      <c r="B27">
        <v>1</v>
      </c>
      <c r="C27">
        <f t="shared" si="1"/>
        <v>1.5143395590930364</v>
      </c>
      <c r="D27" s="3">
        <f t="shared" si="2"/>
        <v>4.5464174950003198</v>
      </c>
      <c r="E27" s="3">
        <f t="shared" si="3"/>
        <v>0.81970343903944753</v>
      </c>
      <c r="F27" s="4">
        <f t="shared" si="4"/>
        <v>-0.19881266384647364</v>
      </c>
    </row>
    <row r="28" spans="1:6">
      <c r="A28">
        <v>43</v>
      </c>
      <c r="B28">
        <v>1</v>
      </c>
      <c r="C28">
        <f t="shared" si="1"/>
        <v>1.5143395590930364</v>
      </c>
      <c r="D28" s="3">
        <f t="shared" si="2"/>
        <v>4.5464174950003198</v>
      </c>
      <c r="E28" s="3">
        <f t="shared" si="3"/>
        <v>0.81970343903944753</v>
      </c>
      <c r="F28" s="4">
        <f t="shared" si="4"/>
        <v>-0.19881266384647364</v>
      </c>
    </row>
    <row r="29" spans="1:6">
      <c r="A29">
        <v>41</v>
      </c>
      <c r="B29">
        <v>0</v>
      </c>
      <c r="C29">
        <f t="shared" si="1"/>
        <v>1.7088954104513383</v>
      </c>
      <c r="D29" s="3">
        <f t="shared" si="2"/>
        <v>5.5228576163121925</v>
      </c>
      <c r="E29" s="3">
        <f t="shared" si="3"/>
        <v>0.84669295900324026</v>
      </c>
      <c r="F29" s="4">
        <f t="shared" si="4"/>
        <v>-1.8753125646303317</v>
      </c>
    </row>
    <row r="30" spans="1:6">
      <c r="A30">
        <v>41</v>
      </c>
      <c r="B30">
        <v>1</v>
      </c>
      <c r="C30">
        <f t="shared" si="1"/>
        <v>1.7088954104513383</v>
      </c>
      <c r="D30" s="3">
        <f t="shared" si="2"/>
        <v>5.5228576163121925</v>
      </c>
      <c r="E30" s="3">
        <f t="shared" si="3"/>
        <v>0.84669295900324026</v>
      </c>
      <c r="F30" s="4">
        <f t="shared" si="4"/>
        <v>-0.16641715417899317</v>
      </c>
    </row>
    <row r="31" spans="1:6">
      <c r="A31">
        <v>35</v>
      </c>
      <c r="B31">
        <v>1</v>
      </c>
      <c r="C31">
        <f t="shared" si="1"/>
        <v>2.292562964526244</v>
      </c>
      <c r="D31" s="3">
        <f t="shared" si="2"/>
        <v>9.9002792570569653</v>
      </c>
      <c r="E31" s="3">
        <f t="shared" si="3"/>
        <v>0.90825923112450646</v>
      </c>
      <c r="F31" s="4">
        <f t="shared" si="4"/>
        <v>-9.6225444294152598E-2</v>
      </c>
    </row>
    <row r="32" spans="1:6">
      <c r="A32">
        <v>33</v>
      </c>
      <c r="B32">
        <v>1</v>
      </c>
      <c r="C32">
        <f t="shared" si="1"/>
        <v>2.4871188158845459</v>
      </c>
      <c r="D32" s="3">
        <f t="shared" si="2"/>
        <v>12.026575376894819</v>
      </c>
      <c r="E32" s="3">
        <f t="shared" si="3"/>
        <v>0.92323385302220751</v>
      </c>
      <c r="F32" s="4">
        <f t="shared" si="4"/>
        <v>-7.9872714682438908E-2</v>
      </c>
    </row>
    <row r="33" spans="1:6">
      <c r="A33">
        <v>28</v>
      </c>
      <c r="B33">
        <v>1</v>
      </c>
      <c r="C33">
        <f t="shared" si="1"/>
        <v>2.9735084442803008</v>
      </c>
      <c r="D33" s="3">
        <f t="shared" si="2"/>
        <v>19.560426015055413</v>
      </c>
      <c r="E33" s="3">
        <f t="shared" si="3"/>
        <v>0.95136287549354537</v>
      </c>
      <c r="F33" s="4">
        <f t="shared" si="4"/>
        <v>-4.9859716668620373E-2</v>
      </c>
    </row>
    <row r="34" spans="1:6">
      <c r="A34">
        <v>24</v>
      </c>
      <c r="B34">
        <v>1</v>
      </c>
      <c r="C34">
        <f t="shared" si="1"/>
        <v>3.3626201469969046</v>
      </c>
      <c r="D34" s="3">
        <f t="shared" si="2"/>
        <v>28.864721698982507</v>
      </c>
      <c r="E34" s="3">
        <f t="shared" si="3"/>
        <v>0.96651567658726689</v>
      </c>
      <c r="F34" s="4">
        <f t="shared" si="4"/>
        <v>-3.405776050950781E-2</v>
      </c>
    </row>
    <row r="35" spans="1:6">
      <c r="A35">
        <v>21</v>
      </c>
      <c r="B35">
        <v>1</v>
      </c>
      <c r="C35">
        <f t="shared" si="1"/>
        <v>3.6544539240343576</v>
      </c>
      <c r="D35" s="3">
        <f t="shared" si="2"/>
        <v>38.64641147548744</v>
      </c>
      <c r="E35" s="3">
        <f t="shared" si="3"/>
        <v>0.97477703623647549</v>
      </c>
      <c r="F35" s="4">
        <f t="shared" si="4"/>
        <v>-2.5546514918829179E-2</v>
      </c>
    </row>
    <row r="36" spans="1:6">
      <c r="A36">
        <v>20</v>
      </c>
      <c r="B36">
        <v>1</v>
      </c>
      <c r="C36">
        <f t="shared" si="1"/>
        <v>3.7517318497135088</v>
      </c>
      <c r="D36" s="3">
        <f t="shared" si="2"/>
        <v>42.594785927383683</v>
      </c>
      <c r="E36" s="3">
        <f t="shared" si="3"/>
        <v>0.97706147699255341</v>
      </c>
      <c r="F36" s="4">
        <f t="shared" si="4"/>
        <v>-2.3205704668691349E-2</v>
      </c>
    </row>
    <row r="37" spans="1:6">
      <c r="A37">
        <v>56</v>
      </c>
      <c r="B37">
        <v>1</v>
      </c>
      <c r="C37">
        <f t="shared" si="1"/>
        <v>0.24972652526407391</v>
      </c>
      <c r="D37" s="3">
        <f t="shared" si="2"/>
        <v>1.283674316186737</v>
      </c>
      <c r="E37" s="3">
        <f t="shared" si="3"/>
        <v>0.56210918828837519</v>
      </c>
      <c r="F37" s="4">
        <f t="shared" si="4"/>
        <v>-0.57605916274874136</v>
      </c>
    </row>
    <row r="38" spans="1:6">
      <c r="A38">
        <v>55</v>
      </c>
      <c r="B38">
        <v>1</v>
      </c>
      <c r="C38">
        <f t="shared" si="1"/>
        <v>0.34700445094322507</v>
      </c>
      <c r="D38" s="3">
        <f t="shared" si="2"/>
        <v>1.4148230226533616</v>
      </c>
      <c r="E38" s="3">
        <f t="shared" si="3"/>
        <v>0.58589097808864721</v>
      </c>
      <c r="F38" s="4">
        <f t="shared" si="4"/>
        <v>-0.5346215509308222</v>
      </c>
    </row>
    <row r="39" spans="1:6">
      <c r="A39">
        <v>55</v>
      </c>
      <c r="B39">
        <v>1</v>
      </c>
      <c r="C39">
        <f t="shared" si="1"/>
        <v>0.34700445094322507</v>
      </c>
      <c r="D39" s="3">
        <f t="shared" si="2"/>
        <v>1.4148230226533616</v>
      </c>
      <c r="E39" s="3">
        <f t="shared" si="3"/>
        <v>0.58589097808864721</v>
      </c>
      <c r="F39" s="4">
        <f t="shared" si="4"/>
        <v>-0.5346215509308222</v>
      </c>
    </row>
    <row r="40" spans="1:6">
      <c r="A40">
        <v>53</v>
      </c>
      <c r="B40">
        <v>1</v>
      </c>
      <c r="C40">
        <f t="shared" si="1"/>
        <v>0.54156030230152652</v>
      </c>
      <c r="D40" s="3">
        <f t="shared" si="2"/>
        <v>1.7186864415746761</v>
      </c>
      <c r="E40" s="3">
        <f t="shared" si="3"/>
        <v>0.63217530910964659</v>
      </c>
      <c r="F40" s="4">
        <f t="shared" si="4"/>
        <v>-0.45858853546845196</v>
      </c>
    </row>
    <row r="41" spans="1:6">
      <c r="A41">
        <v>52</v>
      </c>
      <c r="B41">
        <v>1</v>
      </c>
      <c r="C41">
        <f t="shared" si="1"/>
        <v>0.63883822798067769</v>
      </c>
      <c r="D41" s="3">
        <f t="shared" si="2"/>
        <v>1.8942788802423163</v>
      </c>
      <c r="E41" s="3">
        <f t="shared" si="3"/>
        <v>0.65449079325891446</v>
      </c>
      <c r="F41" s="4">
        <f t="shared" si="4"/>
        <v>-0.42389776056242073</v>
      </c>
    </row>
    <row r="42" spans="1:6">
      <c r="A42">
        <v>49</v>
      </c>
      <c r="B42">
        <v>1</v>
      </c>
      <c r="C42">
        <f t="shared" si="1"/>
        <v>0.9306720050181303</v>
      </c>
      <c r="D42" s="3">
        <f t="shared" si="2"/>
        <v>2.5362129529123676</v>
      </c>
      <c r="E42" s="3">
        <f t="shared" si="3"/>
        <v>0.7172116008521443</v>
      </c>
      <c r="F42" s="4">
        <f t="shared" si="4"/>
        <v>-0.33238436218378298</v>
      </c>
    </row>
    <row r="43" spans="1:6">
      <c r="A43">
        <v>46</v>
      </c>
      <c r="B43">
        <v>0</v>
      </c>
      <c r="C43">
        <f t="shared" si="1"/>
        <v>1.2225057820555838</v>
      </c>
      <c r="D43" s="3">
        <f t="shared" si="2"/>
        <v>3.3956859307314069</v>
      </c>
      <c r="E43" s="3">
        <f t="shared" si="3"/>
        <v>0.77250421987414186</v>
      </c>
      <c r="F43" s="4">
        <f t="shared" si="4"/>
        <v>-1.4806235896604918</v>
      </c>
    </row>
    <row r="44" spans="1:6">
      <c r="A44">
        <v>45</v>
      </c>
      <c r="B44">
        <v>1</v>
      </c>
      <c r="C44">
        <f t="shared" si="1"/>
        <v>1.319783707734735</v>
      </c>
      <c r="D44" s="3">
        <f t="shared" si="2"/>
        <v>3.7426117917280339</v>
      </c>
      <c r="E44" s="3">
        <f t="shared" si="3"/>
        <v>0.78914571887494989</v>
      </c>
      <c r="F44" s="4">
        <f t="shared" si="4"/>
        <v>-0.23680428713456608</v>
      </c>
    </row>
    <row r="45" spans="1:6">
      <c r="A45">
        <v>44</v>
      </c>
      <c r="B45">
        <v>1</v>
      </c>
      <c r="C45">
        <f t="shared" si="1"/>
        <v>1.4170616334138852</v>
      </c>
      <c r="D45" s="3">
        <f t="shared" si="2"/>
        <v>4.1249819062520521</v>
      </c>
      <c r="E45" s="3">
        <f t="shared" si="3"/>
        <v>0.80487735990246456</v>
      </c>
      <c r="F45" s="4">
        <f t="shared" si="4"/>
        <v>-0.21706536111694999</v>
      </c>
    </row>
    <row r="46" spans="1:6">
      <c r="A46">
        <v>41</v>
      </c>
      <c r="B46">
        <v>0</v>
      </c>
      <c r="C46">
        <f t="shared" si="1"/>
        <v>1.7088954104513383</v>
      </c>
      <c r="D46" s="3">
        <f t="shared" si="2"/>
        <v>5.5228576163121925</v>
      </c>
      <c r="E46" s="3">
        <f t="shared" si="3"/>
        <v>0.84669295900324026</v>
      </c>
      <c r="F46" s="4">
        <f t="shared" si="4"/>
        <v>-1.8753125646303317</v>
      </c>
    </row>
    <row r="47" spans="1:6">
      <c r="A47">
        <v>38</v>
      </c>
      <c r="B47">
        <v>1</v>
      </c>
      <c r="C47">
        <f t="shared" si="1"/>
        <v>2.0007291874887914</v>
      </c>
      <c r="D47" s="3">
        <f t="shared" si="2"/>
        <v>7.3944460711032773</v>
      </c>
      <c r="E47" s="3">
        <f t="shared" si="3"/>
        <v>0.88087361673066633</v>
      </c>
      <c r="F47" s="4">
        <f t="shared" si="4"/>
        <v>-0.12684111767174036</v>
      </c>
    </row>
    <row r="48" spans="1:6">
      <c r="A48">
        <v>35</v>
      </c>
      <c r="B48">
        <v>1</v>
      </c>
      <c r="C48">
        <f t="shared" si="1"/>
        <v>2.292562964526244</v>
      </c>
      <c r="D48" s="3">
        <f t="shared" si="2"/>
        <v>9.9002792570569653</v>
      </c>
      <c r="E48" s="3">
        <f t="shared" si="3"/>
        <v>0.90825923112450646</v>
      </c>
      <c r="F48" s="4">
        <f t="shared" si="4"/>
        <v>-9.6225444294152598E-2</v>
      </c>
    </row>
    <row r="49" spans="1:6">
      <c r="A49">
        <v>31</v>
      </c>
      <c r="B49">
        <v>1</v>
      </c>
      <c r="C49">
        <f t="shared" si="1"/>
        <v>2.6816746672428482</v>
      </c>
      <c r="D49" s="3">
        <f t="shared" si="2"/>
        <v>14.609538937301574</v>
      </c>
      <c r="E49" s="3">
        <f t="shared" si="3"/>
        <v>0.93593660876104834</v>
      </c>
      <c r="F49" s="4">
        <f t="shared" si="4"/>
        <v>-6.6207530480673266E-2</v>
      </c>
    </row>
    <row r="50" spans="1:6">
      <c r="A50">
        <v>30</v>
      </c>
      <c r="B50">
        <v>1</v>
      </c>
      <c r="C50">
        <f t="shared" si="1"/>
        <v>2.7789525929219989</v>
      </c>
      <c r="D50" s="3">
        <f t="shared" si="2"/>
        <v>16.102146610089314</v>
      </c>
      <c r="E50" s="3">
        <f t="shared" si="3"/>
        <v>0.94152780801153602</v>
      </c>
      <c r="F50" s="4">
        <f t="shared" si="4"/>
        <v>-6.0251395461799473E-2</v>
      </c>
    </row>
    <row r="51" spans="1:6">
      <c r="A51">
        <v>28</v>
      </c>
      <c r="B51">
        <v>1</v>
      </c>
      <c r="C51">
        <f t="shared" si="1"/>
        <v>2.9735084442803008</v>
      </c>
      <c r="D51" s="3">
        <f t="shared" si="2"/>
        <v>19.560426015055413</v>
      </c>
      <c r="E51" s="3">
        <f t="shared" si="3"/>
        <v>0.95136287549354537</v>
      </c>
      <c r="F51" s="4">
        <f t="shared" si="4"/>
        <v>-4.9859716668620373E-2</v>
      </c>
    </row>
    <row r="52" spans="1:6">
      <c r="A52">
        <v>27</v>
      </c>
      <c r="B52">
        <v>1</v>
      </c>
      <c r="C52">
        <f t="shared" si="1"/>
        <v>3.070786369959452</v>
      </c>
      <c r="D52" s="3">
        <f t="shared" si="2"/>
        <v>21.558849242397955</v>
      </c>
      <c r="E52" s="3">
        <f t="shared" si="3"/>
        <v>0.95567149772336069</v>
      </c>
      <c r="F52" s="4">
        <f t="shared" si="4"/>
        <v>-4.5341046610459235E-2</v>
      </c>
    </row>
    <row r="53" spans="1:6">
      <c r="A53">
        <v>25</v>
      </c>
      <c r="B53">
        <v>1</v>
      </c>
      <c r="C53">
        <f t="shared" si="1"/>
        <v>3.2653422213177539</v>
      </c>
      <c r="D53" s="3">
        <f t="shared" si="2"/>
        <v>26.189071916127556</v>
      </c>
      <c r="E53" s="3">
        <f t="shared" si="3"/>
        <v>0.96322051730618885</v>
      </c>
      <c r="F53" s="4">
        <f t="shared" si="4"/>
        <v>-3.7472903464467466E-2</v>
      </c>
    </row>
    <row r="54" spans="1:6">
      <c r="A54">
        <v>24</v>
      </c>
      <c r="B54">
        <v>1</v>
      </c>
      <c r="C54">
        <f t="shared" si="1"/>
        <v>3.3626201469969046</v>
      </c>
      <c r="D54" s="3">
        <f t="shared" si="2"/>
        <v>28.864721698982507</v>
      </c>
      <c r="E54" s="3">
        <f t="shared" si="3"/>
        <v>0.96651567658726689</v>
      </c>
      <c r="F54" s="4">
        <f t="shared" si="4"/>
        <v>-3.405776050950781E-2</v>
      </c>
    </row>
    <row r="55" spans="1:6">
      <c r="A55">
        <v>58</v>
      </c>
      <c r="B55">
        <v>1</v>
      </c>
      <c r="C55">
        <f t="shared" si="1"/>
        <v>5.517067390577246E-2</v>
      </c>
      <c r="D55" s="3">
        <f t="shared" si="2"/>
        <v>1.0567209539779769</v>
      </c>
      <c r="E55" s="3">
        <f t="shared" si="3"/>
        <v>0.51378917102688892</v>
      </c>
      <c r="F55" s="4">
        <f t="shared" si="4"/>
        <v>-0.66594227077040546</v>
      </c>
    </row>
    <row r="56" spans="1:6">
      <c r="A56">
        <v>48</v>
      </c>
      <c r="B56">
        <v>1</v>
      </c>
      <c r="C56">
        <f t="shared" si="1"/>
        <v>1.0279499306972815</v>
      </c>
      <c r="D56" s="3">
        <f t="shared" si="2"/>
        <v>2.7953293377337407</v>
      </c>
      <c r="E56" s="3">
        <f t="shared" si="3"/>
        <v>0.73651825414520733</v>
      </c>
      <c r="F56" s="4">
        <f t="shared" si="4"/>
        <v>-0.30582125839649665</v>
      </c>
    </row>
    <row r="57" spans="1:6">
      <c r="A57">
        <v>47</v>
      </c>
      <c r="B57">
        <v>0</v>
      </c>
      <c r="C57">
        <f t="shared" si="1"/>
        <v>1.1252278563764326</v>
      </c>
      <c r="D57" s="3">
        <f t="shared" si="2"/>
        <v>3.0809187759340886</v>
      </c>
      <c r="E57" s="3">
        <f t="shared" si="3"/>
        <v>0.75495714202958897</v>
      </c>
      <c r="F57" s="4">
        <f t="shared" si="4"/>
        <v>-1.4063221532444907</v>
      </c>
    </row>
    <row r="58" spans="1:6">
      <c r="A58">
        <v>45</v>
      </c>
      <c r="B58">
        <v>1</v>
      </c>
      <c r="C58">
        <f t="shared" si="1"/>
        <v>1.319783707734735</v>
      </c>
      <c r="D58" s="3">
        <f t="shared" si="2"/>
        <v>3.7426117917280339</v>
      </c>
      <c r="E58" s="3">
        <f t="shared" si="3"/>
        <v>0.78914571887494989</v>
      </c>
      <c r="F58" s="4">
        <f t="shared" si="4"/>
        <v>-0.23680428713456608</v>
      </c>
    </row>
    <row r="59" spans="1:6">
      <c r="A59">
        <v>43</v>
      </c>
      <c r="B59">
        <v>0</v>
      </c>
      <c r="C59">
        <f t="shared" si="1"/>
        <v>1.5143395590930364</v>
      </c>
      <c r="D59" s="3">
        <f t="shared" si="2"/>
        <v>4.5464174950003198</v>
      </c>
      <c r="E59" s="3">
        <f t="shared" si="3"/>
        <v>0.81970343903944753</v>
      </c>
      <c r="F59" s="4">
        <f t="shared" si="4"/>
        <v>-1.7131522229395102</v>
      </c>
    </row>
    <row r="60" spans="1:6">
      <c r="A60">
        <v>43</v>
      </c>
      <c r="B60">
        <v>0</v>
      </c>
      <c r="C60">
        <f t="shared" si="1"/>
        <v>1.5143395590930364</v>
      </c>
      <c r="D60" s="3">
        <f t="shared" si="2"/>
        <v>4.5464174950003198</v>
      </c>
      <c r="E60" s="3">
        <f t="shared" si="3"/>
        <v>0.81970343903944753</v>
      </c>
      <c r="F60" s="4">
        <f t="shared" si="4"/>
        <v>-1.7131522229395102</v>
      </c>
    </row>
    <row r="61" spans="1:6">
      <c r="A61">
        <v>43</v>
      </c>
      <c r="B61">
        <v>1</v>
      </c>
      <c r="C61">
        <f t="shared" si="1"/>
        <v>1.5143395590930364</v>
      </c>
      <c r="D61" s="3">
        <f t="shared" si="2"/>
        <v>4.5464174950003198</v>
      </c>
      <c r="E61" s="3">
        <f t="shared" si="3"/>
        <v>0.81970343903944753</v>
      </c>
      <c r="F61" s="4">
        <f t="shared" si="4"/>
        <v>-0.19881266384647364</v>
      </c>
    </row>
    <row r="62" spans="1:6">
      <c r="A62">
        <v>41</v>
      </c>
      <c r="B62">
        <v>1</v>
      </c>
      <c r="C62">
        <f t="shared" si="1"/>
        <v>1.7088954104513383</v>
      </c>
      <c r="D62" s="3">
        <f t="shared" si="2"/>
        <v>5.5228576163121925</v>
      </c>
      <c r="E62" s="3">
        <f t="shared" si="3"/>
        <v>0.84669295900324026</v>
      </c>
      <c r="F62" s="4">
        <f t="shared" si="4"/>
        <v>-0.16641715417899317</v>
      </c>
    </row>
    <row r="63" spans="1:6">
      <c r="A63">
        <v>38</v>
      </c>
      <c r="B63">
        <v>1</v>
      </c>
      <c r="C63">
        <f t="shared" si="1"/>
        <v>2.0007291874887914</v>
      </c>
      <c r="D63" s="3">
        <f t="shared" si="2"/>
        <v>7.3944460711032773</v>
      </c>
      <c r="E63" s="3">
        <f t="shared" si="3"/>
        <v>0.88087361673066633</v>
      </c>
      <c r="F63" s="4">
        <f t="shared" si="4"/>
        <v>-0.12684111767174036</v>
      </c>
    </row>
    <row r="64" spans="1:6">
      <c r="A64">
        <v>36</v>
      </c>
      <c r="B64">
        <v>1</v>
      </c>
      <c r="C64">
        <f t="shared" si="1"/>
        <v>2.1952850388470933</v>
      </c>
      <c r="D64" s="3">
        <f t="shared" si="2"/>
        <v>8.9825610708018857</v>
      </c>
      <c r="E64" s="3">
        <f t="shared" si="3"/>
        <v>0.8998253060604946</v>
      </c>
      <c r="F64" s="4">
        <f t="shared" si="4"/>
        <v>-0.10555463887574723</v>
      </c>
    </row>
    <row r="65" spans="1:6">
      <c r="A65">
        <v>35</v>
      </c>
      <c r="B65">
        <v>1</v>
      </c>
      <c r="C65">
        <f t="shared" si="1"/>
        <v>2.292562964526244</v>
      </c>
      <c r="D65" s="3">
        <f t="shared" si="2"/>
        <v>9.9002792570569653</v>
      </c>
      <c r="E65" s="3">
        <f t="shared" si="3"/>
        <v>0.90825923112450646</v>
      </c>
      <c r="F65" s="4">
        <f t="shared" si="4"/>
        <v>-9.6225444294152598E-2</v>
      </c>
    </row>
    <row r="66" spans="1:6">
      <c r="A66">
        <v>32</v>
      </c>
      <c r="B66">
        <v>1</v>
      </c>
      <c r="C66">
        <f t="shared" si="1"/>
        <v>2.584396741563697</v>
      </c>
      <c r="D66" s="3">
        <f t="shared" si="2"/>
        <v>13.255290311839165</v>
      </c>
      <c r="E66" s="3">
        <f t="shared" si="3"/>
        <v>0.92985060436338574</v>
      </c>
      <c r="F66" s="4">
        <f t="shared" si="4"/>
        <v>-7.2731346208375319E-2</v>
      </c>
    </row>
    <row r="67" spans="1:6">
      <c r="A67">
        <v>29</v>
      </c>
      <c r="B67">
        <v>1</v>
      </c>
      <c r="C67">
        <f t="shared" ref="C67:C130" si="5">A67*$J$4+$J$3</f>
        <v>2.8762305186011501</v>
      </c>
      <c r="D67" s="3">
        <f t="shared" ref="D67:D130" si="6">EXP(C67)</f>
        <v>17.747249010768609</v>
      </c>
      <c r="E67" s="3">
        <f t="shared" ref="E67:E130" si="7">D67/(1+D67)</f>
        <v>0.94665884048237747</v>
      </c>
      <c r="F67" s="4">
        <f t="shared" ref="F67:F130" si="8">B67*LN(E67)+(1-B67)*LN(1-E67)</f>
        <v>-5.481650362524778E-2</v>
      </c>
    </row>
    <row r="68" spans="1:6">
      <c r="A68">
        <v>28</v>
      </c>
      <c r="B68">
        <v>1</v>
      </c>
      <c r="C68">
        <f t="shared" si="5"/>
        <v>2.9735084442803008</v>
      </c>
      <c r="D68" s="3">
        <f t="shared" si="6"/>
        <v>19.560426015055413</v>
      </c>
      <c r="E68" s="3">
        <f t="shared" si="7"/>
        <v>0.95136287549354537</v>
      </c>
      <c r="F68" s="4">
        <f t="shared" si="8"/>
        <v>-4.9859716668620373E-2</v>
      </c>
    </row>
    <row r="69" spans="1:6">
      <c r="A69">
        <v>28</v>
      </c>
      <c r="B69">
        <v>1</v>
      </c>
      <c r="C69">
        <f t="shared" si="5"/>
        <v>2.9735084442803008</v>
      </c>
      <c r="D69" s="3">
        <f t="shared" si="6"/>
        <v>19.560426015055413</v>
      </c>
      <c r="E69" s="3">
        <f t="shared" si="7"/>
        <v>0.95136287549354537</v>
      </c>
      <c r="F69" s="4">
        <f t="shared" si="8"/>
        <v>-4.9859716668620373E-2</v>
      </c>
    </row>
    <row r="70" spans="1:6">
      <c r="A70">
        <v>27</v>
      </c>
      <c r="B70">
        <v>1</v>
      </c>
      <c r="C70">
        <f t="shared" si="5"/>
        <v>3.070786369959452</v>
      </c>
      <c r="D70" s="3">
        <f t="shared" si="6"/>
        <v>21.558849242397955</v>
      </c>
      <c r="E70" s="3">
        <f t="shared" si="7"/>
        <v>0.95567149772336069</v>
      </c>
      <c r="F70" s="4">
        <f t="shared" si="8"/>
        <v>-4.5341046610459235E-2</v>
      </c>
    </row>
    <row r="71" spans="1:6">
      <c r="A71">
        <v>27</v>
      </c>
      <c r="B71">
        <v>1</v>
      </c>
      <c r="C71">
        <f t="shared" si="5"/>
        <v>3.070786369959452</v>
      </c>
      <c r="D71" s="3">
        <f t="shared" si="6"/>
        <v>21.558849242397955</v>
      </c>
      <c r="E71" s="3">
        <f t="shared" si="7"/>
        <v>0.95567149772336069</v>
      </c>
      <c r="F71" s="4">
        <f t="shared" si="8"/>
        <v>-4.5341046610459235E-2</v>
      </c>
    </row>
    <row r="72" spans="1:6">
      <c r="A72">
        <v>26</v>
      </c>
      <c r="B72">
        <v>1</v>
      </c>
      <c r="C72">
        <f t="shared" si="5"/>
        <v>3.1680642956386027</v>
      </c>
      <c r="D72" s="3">
        <f t="shared" si="6"/>
        <v>23.761444679103832</v>
      </c>
      <c r="E72" s="3">
        <f t="shared" si="7"/>
        <v>0.95961463424450755</v>
      </c>
      <c r="F72" s="4">
        <f t="shared" si="8"/>
        <v>-4.1223497773871472E-2</v>
      </c>
    </row>
    <row r="73" spans="1:6">
      <c r="A73">
        <v>25</v>
      </c>
      <c r="B73">
        <v>1</v>
      </c>
      <c r="C73">
        <f t="shared" si="5"/>
        <v>3.2653422213177539</v>
      </c>
      <c r="D73" s="3">
        <f t="shared" si="6"/>
        <v>26.189071916127556</v>
      </c>
      <c r="E73" s="3">
        <f t="shared" si="7"/>
        <v>0.96322051730618885</v>
      </c>
      <c r="F73" s="4">
        <f t="shared" si="8"/>
        <v>-3.7472903464467466E-2</v>
      </c>
    </row>
    <row r="74" spans="1:6">
      <c r="A74">
        <v>25</v>
      </c>
      <c r="B74">
        <v>1</v>
      </c>
      <c r="C74">
        <f t="shared" si="5"/>
        <v>3.2653422213177539</v>
      </c>
      <c r="D74" s="3">
        <f t="shared" si="6"/>
        <v>26.189071916127556</v>
      </c>
      <c r="E74" s="3">
        <f t="shared" si="7"/>
        <v>0.96322051730618885</v>
      </c>
      <c r="F74" s="4">
        <f t="shared" si="8"/>
        <v>-3.7472903464467466E-2</v>
      </c>
    </row>
    <row r="75" spans="1:6">
      <c r="A75">
        <v>24</v>
      </c>
      <c r="B75">
        <v>1</v>
      </c>
      <c r="C75">
        <f t="shared" si="5"/>
        <v>3.3626201469969046</v>
      </c>
      <c r="D75" s="3">
        <f t="shared" si="6"/>
        <v>28.864721698982507</v>
      </c>
      <c r="E75" s="3">
        <f t="shared" si="7"/>
        <v>0.96651567658726689</v>
      </c>
      <c r="F75" s="4">
        <f t="shared" si="8"/>
        <v>-3.405776050950781E-2</v>
      </c>
    </row>
    <row r="76" spans="1:6">
      <c r="A76">
        <v>23</v>
      </c>
      <c r="B76">
        <v>1</v>
      </c>
      <c r="C76">
        <f t="shared" si="5"/>
        <v>3.4598980726760558</v>
      </c>
      <c r="D76" s="3">
        <f t="shared" si="6"/>
        <v>31.813733660666077</v>
      </c>
      <c r="E76" s="3">
        <f t="shared" si="7"/>
        <v>0.96952495530252014</v>
      </c>
      <c r="F76" s="4">
        <f t="shared" si="8"/>
        <v>-3.0949064246469118E-2</v>
      </c>
    </row>
    <row r="77" spans="1:6">
      <c r="A77">
        <v>21</v>
      </c>
      <c r="B77">
        <v>1</v>
      </c>
      <c r="C77">
        <f t="shared" si="5"/>
        <v>3.6544539240343576</v>
      </c>
      <c r="D77" s="3">
        <f t="shared" si="6"/>
        <v>38.64641147548744</v>
      </c>
      <c r="E77" s="3">
        <f t="shared" si="7"/>
        <v>0.97477703623647549</v>
      </c>
      <c r="F77" s="4">
        <f t="shared" si="8"/>
        <v>-2.5546514918829179E-2</v>
      </c>
    </row>
    <row r="78" spans="1:6">
      <c r="A78">
        <v>53</v>
      </c>
      <c r="B78">
        <v>0</v>
      </c>
      <c r="C78">
        <f t="shared" si="5"/>
        <v>0.54156030230152652</v>
      </c>
      <c r="D78" s="3">
        <f t="shared" si="6"/>
        <v>1.7186864415746761</v>
      </c>
      <c r="E78" s="3">
        <f t="shared" si="7"/>
        <v>0.63217530910964659</v>
      </c>
      <c r="F78" s="4">
        <f t="shared" si="8"/>
        <v>-1.0001488377699783</v>
      </c>
    </row>
    <row r="79" spans="1:6">
      <c r="A79">
        <v>52</v>
      </c>
      <c r="B79">
        <v>0</v>
      </c>
      <c r="C79">
        <f t="shared" si="5"/>
        <v>0.63883822798067769</v>
      </c>
      <c r="D79" s="3">
        <f t="shared" si="6"/>
        <v>1.8942788802423163</v>
      </c>
      <c r="E79" s="3">
        <f t="shared" si="7"/>
        <v>0.65449079325891446</v>
      </c>
      <c r="F79" s="4">
        <f t="shared" si="8"/>
        <v>-1.0627359885430985</v>
      </c>
    </row>
    <row r="80" spans="1:6">
      <c r="A80">
        <v>52</v>
      </c>
      <c r="B80">
        <v>1</v>
      </c>
      <c r="C80">
        <f t="shared" si="5"/>
        <v>0.63883822798067769</v>
      </c>
      <c r="D80" s="3">
        <f t="shared" si="6"/>
        <v>1.8942788802423163</v>
      </c>
      <c r="E80" s="3">
        <f t="shared" si="7"/>
        <v>0.65449079325891446</v>
      </c>
      <c r="F80" s="4">
        <f t="shared" si="8"/>
        <v>-0.42389776056242073</v>
      </c>
    </row>
    <row r="81" spans="1:6">
      <c r="A81">
        <v>48</v>
      </c>
      <c r="B81">
        <v>1</v>
      </c>
      <c r="C81">
        <f t="shared" si="5"/>
        <v>1.0279499306972815</v>
      </c>
      <c r="D81" s="3">
        <f t="shared" si="6"/>
        <v>2.7953293377337407</v>
      </c>
      <c r="E81" s="3">
        <f t="shared" si="7"/>
        <v>0.73651825414520733</v>
      </c>
      <c r="F81" s="4">
        <f t="shared" si="8"/>
        <v>-0.30582125839649665</v>
      </c>
    </row>
    <row r="82" spans="1:6">
      <c r="A82">
        <v>48</v>
      </c>
      <c r="B82">
        <v>1</v>
      </c>
      <c r="C82">
        <f t="shared" si="5"/>
        <v>1.0279499306972815</v>
      </c>
      <c r="D82" s="3">
        <f t="shared" si="6"/>
        <v>2.7953293377337407</v>
      </c>
      <c r="E82" s="3">
        <f t="shared" si="7"/>
        <v>0.73651825414520733</v>
      </c>
      <c r="F82" s="4">
        <f t="shared" si="8"/>
        <v>-0.30582125839649665</v>
      </c>
    </row>
    <row r="83" spans="1:6">
      <c r="A83">
        <v>47</v>
      </c>
      <c r="B83">
        <v>1</v>
      </c>
      <c r="C83">
        <f t="shared" si="5"/>
        <v>1.1252278563764326</v>
      </c>
      <c r="D83" s="3">
        <f t="shared" si="6"/>
        <v>3.0809187759340886</v>
      </c>
      <c r="E83" s="3">
        <f t="shared" si="7"/>
        <v>0.75495714202958897</v>
      </c>
      <c r="F83" s="4">
        <f t="shared" si="8"/>
        <v>-0.28109429686805887</v>
      </c>
    </row>
    <row r="84" spans="1:6">
      <c r="A84">
        <v>47</v>
      </c>
      <c r="B84">
        <v>1</v>
      </c>
      <c r="C84">
        <f t="shared" si="5"/>
        <v>1.1252278563764326</v>
      </c>
      <c r="D84" s="3">
        <f t="shared" si="6"/>
        <v>3.0809187759340886</v>
      </c>
      <c r="E84" s="3">
        <f t="shared" si="7"/>
        <v>0.75495714202958897</v>
      </c>
      <c r="F84" s="4">
        <f t="shared" si="8"/>
        <v>-0.28109429686805887</v>
      </c>
    </row>
    <row r="85" spans="1:6">
      <c r="A85">
        <v>46</v>
      </c>
      <c r="B85">
        <v>1</v>
      </c>
      <c r="C85">
        <f t="shared" si="5"/>
        <v>1.2225057820555838</v>
      </c>
      <c r="D85" s="3">
        <f t="shared" si="6"/>
        <v>3.3956859307314069</v>
      </c>
      <c r="E85" s="3">
        <f t="shared" si="7"/>
        <v>0.77250421987414186</v>
      </c>
      <c r="F85" s="4">
        <f t="shared" si="8"/>
        <v>-0.25811780760490821</v>
      </c>
    </row>
    <row r="86" spans="1:6">
      <c r="A86">
        <v>45</v>
      </c>
      <c r="B86">
        <v>1</v>
      </c>
      <c r="C86">
        <f t="shared" si="5"/>
        <v>1.319783707734735</v>
      </c>
      <c r="D86" s="3">
        <f t="shared" si="6"/>
        <v>3.7426117917280339</v>
      </c>
      <c r="E86" s="3">
        <f t="shared" si="7"/>
        <v>0.78914571887494989</v>
      </c>
      <c r="F86" s="4">
        <f t="shared" si="8"/>
        <v>-0.23680428713456608</v>
      </c>
    </row>
    <row r="87" spans="1:6">
      <c r="A87">
        <v>43</v>
      </c>
      <c r="B87">
        <v>1</v>
      </c>
      <c r="C87">
        <f t="shared" si="5"/>
        <v>1.5143395590930364</v>
      </c>
      <c r="D87" s="3">
        <f t="shared" si="6"/>
        <v>4.5464174950003198</v>
      </c>
      <c r="E87" s="3">
        <f t="shared" si="7"/>
        <v>0.81970343903944753</v>
      </c>
      <c r="F87" s="4">
        <f t="shared" si="8"/>
        <v>-0.19881266384647364</v>
      </c>
    </row>
    <row r="88" spans="1:6">
      <c r="A88">
        <v>41</v>
      </c>
      <c r="B88">
        <v>1</v>
      </c>
      <c r="C88">
        <f t="shared" si="5"/>
        <v>1.7088954104513383</v>
      </c>
      <c r="D88" s="3">
        <f t="shared" si="6"/>
        <v>5.5228576163121925</v>
      </c>
      <c r="E88" s="3">
        <f t="shared" si="7"/>
        <v>0.84669295900324026</v>
      </c>
      <c r="F88" s="4">
        <f t="shared" si="8"/>
        <v>-0.16641715417899317</v>
      </c>
    </row>
    <row r="89" spans="1:6">
      <c r="A89">
        <v>40</v>
      </c>
      <c r="B89">
        <v>1</v>
      </c>
      <c r="C89">
        <f t="shared" si="5"/>
        <v>1.8061733361304895</v>
      </c>
      <c r="D89" s="3">
        <f t="shared" si="6"/>
        <v>6.0871094855326735</v>
      </c>
      <c r="E89" s="3">
        <f t="shared" si="7"/>
        <v>0.8588987510294066</v>
      </c>
      <c r="F89" s="4">
        <f t="shared" si="8"/>
        <v>-0.15210423236236398</v>
      </c>
    </row>
    <row r="90" spans="1:6">
      <c r="A90">
        <v>40</v>
      </c>
      <c r="B90">
        <v>1</v>
      </c>
      <c r="C90">
        <f t="shared" si="5"/>
        <v>1.8061733361304895</v>
      </c>
      <c r="D90" s="3">
        <f t="shared" si="6"/>
        <v>6.0871094855326735</v>
      </c>
      <c r="E90" s="3">
        <f t="shared" si="7"/>
        <v>0.8588987510294066</v>
      </c>
      <c r="F90" s="4">
        <f t="shared" si="8"/>
        <v>-0.15210423236236398</v>
      </c>
    </row>
    <row r="91" spans="1:6">
      <c r="A91">
        <v>37</v>
      </c>
      <c r="B91">
        <v>1</v>
      </c>
      <c r="C91">
        <f t="shared" si="5"/>
        <v>2.0980071131679421</v>
      </c>
      <c r="D91" s="3">
        <f t="shared" si="6"/>
        <v>8.1499118656851888</v>
      </c>
      <c r="E91" s="3">
        <f t="shared" si="7"/>
        <v>0.89070932980783246</v>
      </c>
      <c r="F91" s="4">
        <f t="shared" si="8"/>
        <v>-0.11573713390754511</v>
      </c>
    </row>
    <row r="92" spans="1:6">
      <c r="A92">
        <v>35</v>
      </c>
      <c r="B92">
        <v>1</v>
      </c>
      <c r="C92">
        <f t="shared" si="5"/>
        <v>2.292562964526244</v>
      </c>
      <c r="D92" s="3">
        <f t="shared" si="6"/>
        <v>9.9002792570569653</v>
      </c>
      <c r="E92" s="3">
        <f t="shared" si="7"/>
        <v>0.90825923112450646</v>
      </c>
      <c r="F92" s="4">
        <f t="shared" si="8"/>
        <v>-9.6225444294152598E-2</v>
      </c>
    </row>
    <row r="93" spans="1:6">
      <c r="A93">
        <v>32</v>
      </c>
      <c r="B93">
        <v>1</v>
      </c>
      <c r="C93">
        <f t="shared" si="5"/>
        <v>2.584396741563697</v>
      </c>
      <c r="D93" s="3">
        <f t="shared" si="6"/>
        <v>13.255290311839165</v>
      </c>
      <c r="E93" s="3">
        <f t="shared" si="7"/>
        <v>0.92985060436338574</v>
      </c>
      <c r="F93" s="4">
        <f t="shared" si="8"/>
        <v>-7.2731346208375319E-2</v>
      </c>
    </row>
    <row r="94" spans="1:6">
      <c r="A94">
        <v>31</v>
      </c>
      <c r="B94">
        <v>1</v>
      </c>
      <c r="C94">
        <f t="shared" si="5"/>
        <v>2.6816746672428482</v>
      </c>
      <c r="D94" s="3">
        <f t="shared" si="6"/>
        <v>14.609538937301574</v>
      </c>
      <c r="E94" s="3">
        <f t="shared" si="7"/>
        <v>0.93593660876104834</v>
      </c>
      <c r="F94" s="4">
        <f t="shared" si="8"/>
        <v>-6.6207530480673266E-2</v>
      </c>
    </row>
    <row r="95" spans="1:6">
      <c r="A95">
        <v>26</v>
      </c>
      <c r="B95">
        <v>1</v>
      </c>
      <c r="C95">
        <f t="shared" si="5"/>
        <v>3.1680642956386027</v>
      </c>
      <c r="D95" s="3">
        <f t="shared" si="6"/>
        <v>23.761444679103832</v>
      </c>
      <c r="E95" s="3">
        <f t="shared" si="7"/>
        <v>0.95961463424450755</v>
      </c>
      <c r="F95" s="4">
        <f t="shared" si="8"/>
        <v>-4.1223497773871472E-2</v>
      </c>
    </row>
    <row r="96" spans="1:6">
      <c r="A96">
        <v>26</v>
      </c>
      <c r="B96">
        <v>1</v>
      </c>
      <c r="C96">
        <f t="shared" si="5"/>
        <v>3.1680642956386027</v>
      </c>
      <c r="D96" s="3">
        <f t="shared" si="6"/>
        <v>23.761444679103832</v>
      </c>
      <c r="E96" s="3">
        <f t="shared" si="7"/>
        <v>0.95961463424450755</v>
      </c>
      <c r="F96" s="4">
        <f t="shared" si="8"/>
        <v>-4.1223497773871472E-2</v>
      </c>
    </row>
    <row r="97" spans="1:6">
      <c r="A97">
        <v>24</v>
      </c>
      <c r="B97">
        <v>1</v>
      </c>
      <c r="C97">
        <f t="shared" si="5"/>
        <v>3.3626201469969046</v>
      </c>
      <c r="D97" s="3">
        <f t="shared" si="6"/>
        <v>28.864721698982507</v>
      </c>
      <c r="E97" s="3">
        <f t="shared" si="7"/>
        <v>0.96651567658726689</v>
      </c>
      <c r="F97" s="4">
        <f t="shared" si="8"/>
        <v>-3.405776050950781E-2</v>
      </c>
    </row>
    <row r="98" spans="1:6">
      <c r="A98">
        <v>23</v>
      </c>
      <c r="B98">
        <v>1</v>
      </c>
      <c r="C98">
        <f t="shared" si="5"/>
        <v>3.4598980726760558</v>
      </c>
      <c r="D98" s="3">
        <f t="shared" si="6"/>
        <v>31.813733660666077</v>
      </c>
      <c r="E98" s="3">
        <f t="shared" si="7"/>
        <v>0.96952495530252014</v>
      </c>
      <c r="F98" s="4">
        <f t="shared" si="8"/>
        <v>-3.0949064246469118E-2</v>
      </c>
    </row>
    <row r="99" spans="1:6">
      <c r="A99">
        <v>23</v>
      </c>
      <c r="B99">
        <v>1</v>
      </c>
      <c r="C99">
        <f t="shared" si="5"/>
        <v>3.4598980726760558</v>
      </c>
      <c r="D99" s="3">
        <f t="shared" si="6"/>
        <v>31.813733660666077</v>
      </c>
      <c r="E99" s="3">
        <f t="shared" si="7"/>
        <v>0.96952495530252014</v>
      </c>
      <c r="F99" s="4">
        <f t="shared" si="8"/>
        <v>-3.0949064246469118E-2</v>
      </c>
    </row>
    <row r="100" spans="1:6">
      <c r="A100">
        <v>23</v>
      </c>
      <c r="B100">
        <v>1</v>
      </c>
      <c r="C100">
        <f t="shared" si="5"/>
        <v>3.4598980726760558</v>
      </c>
      <c r="D100" s="3">
        <f t="shared" si="6"/>
        <v>31.813733660666077</v>
      </c>
      <c r="E100" s="3">
        <f t="shared" si="7"/>
        <v>0.96952495530252014</v>
      </c>
      <c r="F100" s="4">
        <f t="shared" si="8"/>
        <v>-3.0949064246469118E-2</v>
      </c>
    </row>
    <row r="101" spans="1:6">
      <c r="A101">
        <v>52</v>
      </c>
      <c r="B101">
        <v>1</v>
      </c>
      <c r="C101">
        <f t="shared" si="5"/>
        <v>0.63883822798067769</v>
      </c>
      <c r="D101" s="3">
        <f t="shared" si="6"/>
        <v>1.8942788802423163</v>
      </c>
      <c r="E101" s="3">
        <f t="shared" si="7"/>
        <v>0.65449079325891446</v>
      </c>
      <c r="F101" s="4">
        <f t="shared" si="8"/>
        <v>-0.42389776056242073</v>
      </c>
    </row>
    <row r="102" spans="1:6">
      <c r="A102">
        <v>50</v>
      </c>
      <c r="B102">
        <v>1</v>
      </c>
      <c r="C102">
        <f t="shared" si="5"/>
        <v>0.83339407933898002</v>
      </c>
      <c r="D102" s="3">
        <f t="shared" si="6"/>
        <v>2.3011156702327611</v>
      </c>
      <c r="E102" s="3">
        <f t="shared" si="7"/>
        <v>0.69707211140241865</v>
      </c>
      <c r="F102" s="4">
        <f t="shared" si="8"/>
        <v>-0.36086641388536594</v>
      </c>
    </row>
    <row r="103" spans="1:6">
      <c r="A103">
        <v>49</v>
      </c>
      <c r="B103">
        <v>1</v>
      </c>
      <c r="C103">
        <f t="shared" si="5"/>
        <v>0.9306720050181303</v>
      </c>
      <c r="D103" s="3">
        <f t="shared" si="6"/>
        <v>2.5362129529123676</v>
      </c>
      <c r="E103" s="3">
        <f t="shared" si="7"/>
        <v>0.7172116008521443</v>
      </c>
      <c r="F103" s="4">
        <f t="shared" si="8"/>
        <v>-0.33238436218378298</v>
      </c>
    </row>
    <row r="104" spans="1:6">
      <c r="A104">
        <v>48</v>
      </c>
      <c r="B104">
        <v>1</v>
      </c>
      <c r="C104">
        <f t="shared" si="5"/>
        <v>1.0279499306972815</v>
      </c>
      <c r="D104" s="3">
        <f t="shared" si="6"/>
        <v>2.7953293377337407</v>
      </c>
      <c r="E104" s="3">
        <f t="shared" si="7"/>
        <v>0.73651825414520733</v>
      </c>
      <c r="F104" s="4">
        <f t="shared" si="8"/>
        <v>-0.30582125839649665</v>
      </c>
    </row>
    <row r="105" spans="1:6">
      <c r="A105">
        <v>48</v>
      </c>
      <c r="B105">
        <v>1</v>
      </c>
      <c r="C105">
        <f t="shared" si="5"/>
        <v>1.0279499306972815</v>
      </c>
      <c r="D105" s="3">
        <f t="shared" si="6"/>
        <v>2.7953293377337407</v>
      </c>
      <c r="E105" s="3">
        <f t="shared" si="7"/>
        <v>0.73651825414520733</v>
      </c>
      <c r="F105" s="4">
        <f t="shared" si="8"/>
        <v>-0.30582125839649665</v>
      </c>
    </row>
    <row r="106" spans="1:6">
      <c r="A106">
        <v>47</v>
      </c>
      <c r="B106">
        <v>0</v>
      </c>
      <c r="C106">
        <f t="shared" si="5"/>
        <v>1.1252278563764326</v>
      </c>
      <c r="D106" s="3">
        <f t="shared" si="6"/>
        <v>3.0809187759340886</v>
      </c>
      <c r="E106" s="3">
        <f t="shared" si="7"/>
        <v>0.75495714202958897</v>
      </c>
      <c r="F106" s="4">
        <f t="shared" si="8"/>
        <v>-1.4063221532444907</v>
      </c>
    </row>
    <row r="107" spans="1:6">
      <c r="A107">
        <v>47</v>
      </c>
      <c r="B107">
        <v>1</v>
      </c>
      <c r="C107">
        <f t="shared" si="5"/>
        <v>1.1252278563764326</v>
      </c>
      <c r="D107" s="3">
        <f t="shared" si="6"/>
        <v>3.0809187759340886</v>
      </c>
      <c r="E107" s="3">
        <f t="shared" si="7"/>
        <v>0.75495714202958897</v>
      </c>
      <c r="F107" s="4">
        <f t="shared" si="8"/>
        <v>-0.28109429686805887</v>
      </c>
    </row>
    <row r="108" spans="1:6">
      <c r="A108">
        <v>44</v>
      </c>
      <c r="B108">
        <v>1</v>
      </c>
      <c r="C108">
        <f t="shared" si="5"/>
        <v>1.4170616334138852</v>
      </c>
      <c r="D108" s="3">
        <f t="shared" si="6"/>
        <v>4.1249819062520521</v>
      </c>
      <c r="E108" s="3">
        <f t="shared" si="7"/>
        <v>0.80487735990246456</v>
      </c>
      <c r="F108" s="4">
        <f t="shared" si="8"/>
        <v>-0.21706536111694999</v>
      </c>
    </row>
    <row r="109" spans="1:6">
      <c r="A109">
        <v>43</v>
      </c>
      <c r="B109">
        <v>1</v>
      </c>
      <c r="C109">
        <f t="shared" si="5"/>
        <v>1.5143395590930364</v>
      </c>
      <c r="D109" s="3">
        <f t="shared" si="6"/>
        <v>4.5464174950003198</v>
      </c>
      <c r="E109" s="3">
        <f t="shared" si="7"/>
        <v>0.81970343903944753</v>
      </c>
      <c r="F109" s="4">
        <f t="shared" si="8"/>
        <v>-0.19881266384647364</v>
      </c>
    </row>
    <row r="110" spans="1:6">
      <c r="A110">
        <v>43</v>
      </c>
      <c r="B110">
        <v>1</v>
      </c>
      <c r="C110">
        <f t="shared" si="5"/>
        <v>1.5143395590930364</v>
      </c>
      <c r="D110" s="3">
        <f t="shared" si="6"/>
        <v>4.5464174950003198</v>
      </c>
      <c r="E110" s="3">
        <f t="shared" si="7"/>
        <v>0.81970343903944753</v>
      </c>
      <c r="F110" s="4">
        <f t="shared" si="8"/>
        <v>-0.19881266384647364</v>
      </c>
    </row>
    <row r="111" spans="1:6">
      <c r="A111">
        <v>42</v>
      </c>
      <c r="B111">
        <v>1</v>
      </c>
      <c r="C111">
        <f t="shared" si="5"/>
        <v>1.6116174847721876</v>
      </c>
      <c r="D111" s="3">
        <f t="shared" si="6"/>
        <v>5.010909746662529</v>
      </c>
      <c r="E111" s="3">
        <f t="shared" si="7"/>
        <v>0.83363583182142509</v>
      </c>
      <c r="F111" s="4">
        <f t="shared" si="8"/>
        <v>-0.18195862447614647</v>
      </c>
    </row>
    <row r="112" spans="1:6">
      <c r="A112">
        <v>40</v>
      </c>
      <c r="B112">
        <v>1</v>
      </c>
      <c r="C112">
        <f t="shared" si="5"/>
        <v>1.8061733361304895</v>
      </c>
      <c r="D112" s="3">
        <f t="shared" si="6"/>
        <v>6.0871094855326735</v>
      </c>
      <c r="E112" s="3">
        <f t="shared" si="7"/>
        <v>0.8588987510294066</v>
      </c>
      <c r="F112" s="4">
        <f t="shared" si="8"/>
        <v>-0.15210423236236398</v>
      </c>
    </row>
    <row r="113" spans="1:6">
      <c r="A113">
        <v>40</v>
      </c>
      <c r="B113">
        <v>1</v>
      </c>
      <c r="C113">
        <f t="shared" si="5"/>
        <v>1.8061733361304895</v>
      </c>
      <c r="D113" s="3">
        <f t="shared" si="6"/>
        <v>6.0871094855326735</v>
      </c>
      <c r="E113" s="3">
        <f t="shared" si="7"/>
        <v>0.8588987510294066</v>
      </c>
      <c r="F113" s="4">
        <f t="shared" si="8"/>
        <v>-0.15210423236236398</v>
      </c>
    </row>
    <row r="114" spans="1:6">
      <c r="A114">
        <v>39</v>
      </c>
      <c r="B114">
        <v>1</v>
      </c>
      <c r="C114">
        <f t="shared" si="5"/>
        <v>1.9034512618096402</v>
      </c>
      <c r="D114" s="3">
        <f t="shared" si="6"/>
        <v>6.7090090788187604</v>
      </c>
      <c r="E114" s="3">
        <f t="shared" si="7"/>
        <v>0.87028164193662771</v>
      </c>
      <c r="F114" s="4">
        <f t="shared" si="8"/>
        <v>-0.13893839335764113</v>
      </c>
    </row>
    <row r="115" spans="1:6">
      <c r="A115">
        <v>37</v>
      </c>
      <c r="B115">
        <v>1</v>
      </c>
      <c r="C115">
        <f t="shared" si="5"/>
        <v>2.0980071131679421</v>
      </c>
      <c r="D115" s="3">
        <f t="shared" si="6"/>
        <v>8.1499118656851888</v>
      </c>
      <c r="E115" s="3">
        <f t="shared" si="7"/>
        <v>0.89070932980783246</v>
      </c>
      <c r="F115" s="4">
        <f t="shared" si="8"/>
        <v>-0.11573713390754511</v>
      </c>
    </row>
    <row r="116" spans="1:6">
      <c r="A116">
        <v>36</v>
      </c>
      <c r="B116">
        <v>1</v>
      </c>
      <c r="C116">
        <f t="shared" si="5"/>
        <v>2.1952850388470933</v>
      </c>
      <c r="D116" s="3">
        <f t="shared" si="6"/>
        <v>8.9825610708018857</v>
      </c>
      <c r="E116" s="3">
        <f t="shared" si="7"/>
        <v>0.8998253060604946</v>
      </c>
      <c r="F116" s="4">
        <f t="shared" si="8"/>
        <v>-0.10555463887574723</v>
      </c>
    </row>
    <row r="117" spans="1:6">
      <c r="A117">
        <v>34</v>
      </c>
      <c r="B117">
        <v>1</v>
      </c>
      <c r="C117">
        <f t="shared" si="5"/>
        <v>2.3898408902053951</v>
      </c>
      <c r="D117" s="3">
        <f t="shared" si="6"/>
        <v>10.911757637397555</v>
      </c>
      <c r="E117" s="3">
        <f t="shared" si="7"/>
        <v>0.91604933289941615</v>
      </c>
      <c r="F117" s="4">
        <f t="shared" si="8"/>
        <v>-8.7685058881144459E-2</v>
      </c>
    </row>
    <row r="118" spans="1:6">
      <c r="A118">
        <v>28</v>
      </c>
      <c r="B118">
        <v>1</v>
      </c>
      <c r="C118">
        <f t="shared" si="5"/>
        <v>2.9735084442803008</v>
      </c>
      <c r="D118" s="3">
        <f t="shared" si="6"/>
        <v>19.560426015055413</v>
      </c>
      <c r="E118" s="3">
        <f t="shared" si="7"/>
        <v>0.95136287549354537</v>
      </c>
      <c r="F118" s="4">
        <f t="shared" si="8"/>
        <v>-4.9859716668620373E-2</v>
      </c>
    </row>
    <row r="119" spans="1:6">
      <c r="A119">
        <v>27</v>
      </c>
      <c r="B119">
        <v>0</v>
      </c>
      <c r="C119">
        <f t="shared" si="5"/>
        <v>3.070786369959452</v>
      </c>
      <c r="D119" s="3">
        <f t="shared" si="6"/>
        <v>21.558849242397955</v>
      </c>
      <c r="E119" s="3">
        <f t="shared" si="7"/>
        <v>0.95567149772336069</v>
      </c>
      <c r="F119" s="4">
        <f t="shared" si="8"/>
        <v>-3.1161274165699107</v>
      </c>
    </row>
    <row r="120" spans="1:6">
      <c r="A120">
        <v>23</v>
      </c>
      <c r="B120">
        <v>1</v>
      </c>
      <c r="C120">
        <f t="shared" si="5"/>
        <v>3.4598980726760558</v>
      </c>
      <c r="D120" s="3">
        <f t="shared" si="6"/>
        <v>31.813733660666077</v>
      </c>
      <c r="E120" s="3">
        <f t="shared" si="7"/>
        <v>0.96952495530252014</v>
      </c>
      <c r="F120" s="4">
        <f t="shared" si="8"/>
        <v>-3.0949064246469118E-2</v>
      </c>
    </row>
    <row r="121" spans="1:6">
      <c r="A121">
        <v>48</v>
      </c>
      <c r="B121">
        <v>0</v>
      </c>
      <c r="C121">
        <f t="shared" si="5"/>
        <v>1.0279499306972815</v>
      </c>
      <c r="D121" s="3">
        <f t="shared" si="6"/>
        <v>2.7953293377337407</v>
      </c>
      <c r="E121" s="3">
        <f t="shared" si="7"/>
        <v>0.73651825414520733</v>
      </c>
      <c r="F121" s="4">
        <f t="shared" si="8"/>
        <v>-1.3337711890937782</v>
      </c>
    </row>
    <row r="122" spans="1:6">
      <c r="A122">
        <v>46</v>
      </c>
      <c r="B122">
        <v>1</v>
      </c>
      <c r="C122">
        <f t="shared" si="5"/>
        <v>1.2225057820555838</v>
      </c>
      <c r="D122" s="3">
        <f t="shared" si="6"/>
        <v>3.3956859307314069</v>
      </c>
      <c r="E122" s="3">
        <f t="shared" si="7"/>
        <v>0.77250421987414186</v>
      </c>
      <c r="F122" s="4">
        <f t="shared" si="8"/>
        <v>-0.25811780760490821</v>
      </c>
    </row>
    <row r="123" spans="1:6">
      <c r="A123">
        <v>41</v>
      </c>
      <c r="B123">
        <v>1</v>
      </c>
      <c r="C123">
        <f t="shared" si="5"/>
        <v>1.7088954104513383</v>
      </c>
      <c r="D123" s="3">
        <f t="shared" si="6"/>
        <v>5.5228576163121925</v>
      </c>
      <c r="E123" s="3">
        <f t="shared" si="7"/>
        <v>0.84669295900324026</v>
      </c>
      <c r="F123" s="4">
        <f t="shared" si="8"/>
        <v>-0.16641715417899317</v>
      </c>
    </row>
    <row r="124" spans="1:6">
      <c r="A124">
        <v>39</v>
      </c>
      <c r="B124">
        <v>1</v>
      </c>
      <c r="C124">
        <f t="shared" si="5"/>
        <v>1.9034512618096402</v>
      </c>
      <c r="D124" s="3">
        <f t="shared" si="6"/>
        <v>6.7090090788187604</v>
      </c>
      <c r="E124" s="3">
        <f t="shared" si="7"/>
        <v>0.87028164193662771</v>
      </c>
      <c r="F124" s="4">
        <f t="shared" si="8"/>
        <v>-0.13893839335764113</v>
      </c>
    </row>
    <row r="125" spans="1:6">
      <c r="A125">
        <v>34</v>
      </c>
      <c r="B125">
        <v>0</v>
      </c>
      <c r="C125">
        <f t="shared" si="5"/>
        <v>2.3898408902053951</v>
      </c>
      <c r="D125" s="3">
        <f t="shared" si="6"/>
        <v>10.911757637397555</v>
      </c>
      <c r="E125" s="3">
        <f t="shared" si="7"/>
        <v>0.91604933289941615</v>
      </c>
      <c r="F125" s="4">
        <f t="shared" si="8"/>
        <v>-2.4775259490865404</v>
      </c>
    </row>
    <row r="126" spans="1:6">
      <c r="A126">
        <v>30</v>
      </c>
      <c r="B126">
        <v>1</v>
      </c>
      <c r="C126">
        <f t="shared" si="5"/>
        <v>2.7789525929219989</v>
      </c>
      <c r="D126" s="3">
        <f t="shared" si="6"/>
        <v>16.102146610089314</v>
      </c>
      <c r="E126" s="3">
        <f t="shared" si="7"/>
        <v>0.94152780801153602</v>
      </c>
      <c r="F126" s="4">
        <f t="shared" si="8"/>
        <v>-6.0251395461799473E-2</v>
      </c>
    </row>
    <row r="127" spans="1:6">
      <c r="A127">
        <v>30</v>
      </c>
      <c r="B127">
        <v>1</v>
      </c>
      <c r="C127">
        <f t="shared" si="5"/>
        <v>2.7789525929219989</v>
      </c>
      <c r="D127" s="3">
        <f t="shared" si="6"/>
        <v>16.102146610089314</v>
      </c>
      <c r="E127" s="3">
        <f t="shared" si="7"/>
        <v>0.94152780801153602</v>
      </c>
      <c r="F127" s="4">
        <f t="shared" si="8"/>
        <v>-6.0251395461799473E-2</v>
      </c>
    </row>
    <row r="128" spans="1:6">
      <c r="A128">
        <v>29</v>
      </c>
      <c r="B128">
        <v>1</v>
      </c>
      <c r="C128">
        <f t="shared" si="5"/>
        <v>2.8762305186011501</v>
      </c>
      <c r="D128" s="3">
        <f t="shared" si="6"/>
        <v>17.747249010768609</v>
      </c>
      <c r="E128" s="3">
        <f t="shared" si="7"/>
        <v>0.94665884048237747</v>
      </c>
      <c r="F128" s="4">
        <f t="shared" si="8"/>
        <v>-5.481650362524778E-2</v>
      </c>
    </row>
    <row r="129" spans="1:6">
      <c r="A129">
        <v>29</v>
      </c>
      <c r="B129">
        <v>1</v>
      </c>
      <c r="C129">
        <f t="shared" si="5"/>
        <v>2.8762305186011501</v>
      </c>
      <c r="D129" s="3">
        <f t="shared" si="6"/>
        <v>17.747249010768609</v>
      </c>
      <c r="E129" s="3">
        <f t="shared" si="7"/>
        <v>0.94665884048237747</v>
      </c>
      <c r="F129" s="4">
        <f t="shared" si="8"/>
        <v>-5.481650362524778E-2</v>
      </c>
    </row>
    <row r="130" spans="1:6">
      <c r="A130">
        <v>29</v>
      </c>
      <c r="B130">
        <v>1</v>
      </c>
      <c r="C130">
        <f t="shared" si="5"/>
        <v>2.8762305186011501</v>
      </c>
      <c r="D130" s="3">
        <f t="shared" si="6"/>
        <v>17.747249010768609</v>
      </c>
      <c r="E130" s="3">
        <f t="shared" si="7"/>
        <v>0.94665884048237747</v>
      </c>
      <c r="F130" s="4">
        <f t="shared" si="8"/>
        <v>-5.481650362524778E-2</v>
      </c>
    </row>
    <row r="131" spans="1:6">
      <c r="A131">
        <v>51</v>
      </c>
      <c r="B131">
        <v>0</v>
      </c>
      <c r="C131">
        <f t="shared" ref="C131:C194" si="9">A131*$J$4+$J$3</f>
        <v>0.73611615365982885</v>
      </c>
      <c r="D131" s="3">
        <f t="shared" ref="D131:D194" si="10">EXP(C131)</f>
        <v>2.0878110103925982</v>
      </c>
      <c r="E131" s="3">
        <f t="shared" ref="E131:E194" si="11">D131/(1+D131)</f>
        <v>0.67614598282268079</v>
      </c>
      <c r="F131" s="4">
        <f t="shared" ref="F131:F194" si="12">B131*LN(E131)+(1-B131)*LN(1-E131)</f>
        <v>-1.1274624289919202</v>
      </c>
    </row>
    <row r="132" spans="1:6">
      <c r="A132">
        <v>50</v>
      </c>
      <c r="B132">
        <v>1</v>
      </c>
      <c r="C132">
        <f t="shared" si="9"/>
        <v>0.83339407933898002</v>
      </c>
      <c r="D132" s="3">
        <f t="shared" si="10"/>
        <v>2.3011156702327611</v>
      </c>
      <c r="E132" s="3">
        <f t="shared" si="11"/>
        <v>0.69707211140241865</v>
      </c>
      <c r="F132" s="4">
        <f t="shared" si="12"/>
        <v>-0.36086641388536594</v>
      </c>
    </row>
    <row r="133" spans="1:6">
      <c r="A133">
        <v>45</v>
      </c>
      <c r="B133">
        <v>0</v>
      </c>
      <c r="C133">
        <f t="shared" si="9"/>
        <v>1.319783707734735</v>
      </c>
      <c r="D133" s="3">
        <f t="shared" si="10"/>
        <v>3.7426117917280339</v>
      </c>
      <c r="E133" s="3">
        <f t="shared" si="11"/>
        <v>0.78914571887494989</v>
      </c>
      <c r="F133" s="4">
        <f t="shared" si="12"/>
        <v>-1.5565879948693004</v>
      </c>
    </row>
    <row r="134" spans="1:6">
      <c r="A134">
        <v>43</v>
      </c>
      <c r="B134">
        <v>1</v>
      </c>
      <c r="C134">
        <f t="shared" si="9"/>
        <v>1.5143395590930364</v>
      </c>
      <c r="D134" s="3">
        <f t="shared" si="10"/>
        <v>4.5464174950003198</v>
      </c>
      <c r="E134" s="3">
        <f t="shared" si="11"/>
        <v>0.81970343903944753</v>
      </c>
      <c r="F134" s="4">
        <f t="shared" si="12"/>
        <v>-0.19881266384647364</v>
      </c>
    </row>
    <row r="135" spans="1:6">
      <c r="A135">
        <v>42</v>
      </c>
      <c r="B135">
        <v>0</v>
      </c>
      <c r="C135">
        <f t="shared" si="9"/>
        <v>1.6116174847721876</v>
      </c>
      <c r="D135" s="3">
        <f t="shared" si="10"/>
        <v>5.010909746662529</v>
      </c>
      <c r="E135" s="3">
        <f t="shared" si="11"/>
        <v>0.83363583182142509</v>
      </c>
      <c r="F135" s="4">
        <f t="shared" si="12"/>
        <v>-1.793576109248334</v>
      </c>
    </row>
    <row r="136" spans="1:6">
      <c r="A136">
        <v>40</v>
      </c>
      <c r="B136">
        <v>1</v>
      </c>
      <c r="C136">
        <f t="shared" si="9"/>
        <v>1.8061733361304895</v>
      </c>
      <c r="D136" s="3">
        <f t="shared" si="10"/>
        <v>6.0871094855326735</v>
      </c>
      <c r="E136" s="3">
        <f t="shared" si="11"/>
        <v>0.8588987510294066</v>
      </c>
      <c r="F136" s="4">
        <f t="shared" si="12"/>
        <v>-0.15210423236236398</v>
      </c>
    </row>
    <row r="137" spans="1:6">
      <c r="A137">
        <v>37</v>
      </c>
      <c r="B137">
        <v>1</v>
      </c>
      <c r="C137">
        <f t="shared" si="9"/>
        <v>2.0980071131679421</v>
      </c>
      <c r="D137" s="3">
        <f t="shared" si="10"/>
        <v>8.1499118656851888</v>
      </c>
      <c r="E137" s="3">
        <f t="shared" si="11"/>
        <v>0.89070932980783246</v>
      </c>
      <c r="F137" s="4">
        <f t="shared" si="12"/>
        <v>-0.11573713390754511</v>
      </c>
    </row>
    <row r="138" spans="1:6">
      <c r="A138">
        <v>36</v>
      </c>
      <c r="B138">
        <v>0</v>
      </c>
      <c r="C138">
        <f t="shared" si="9"/>
        <v>2.1952850388470933</v>
      </c>
      <c r="D138" s="3">
        <f t="shared" si="10"/>
        <v>8.9825610708018857</v>
      </c>
      <c r="E138" s="3">
        <f t="shared" si="11"/>
        <v>0.8998253060604946</v>
      </c>
      <c r="F138" s="4">
        <f t="shared" si="12"/>
        <v>-2.3008396777228404</v>
      </c>
    </row>
    <row r="139" spans="1:6">
      <c r="A139">
        <v>32</v>
      </c>
      <c r="B139">
        <v>0</v>
      </c>
      <c r="C139">
        <f t="shared" si="9"/>
        <v>2.584396741563697</v>
      </c>
      <c r="D139" s="3">
        <f t="shared" si="10"/>
        <v>13.255290311839165</v>
      </c>
      <c r="E139" s="3">
        <f t="shared" si="11"/>
        <v>0.92985060436338574</v>
      </c>
      <c r="F139" s="4">
        <f t="shared" si="12"/>
        <v>-2.6571280877720724</v>
      </c>
    </row>
    <row r="140" spans="1:6">
      <c r="A140">
        <v>32</v>
      </c>
      <c r="B140">
        <v>0</v>
      </c>
      <c r="C140">
        <f t="shared" si="9"/>
        <v>2.584396741563697</v>
      </c>
      <c r="D140" s="3">
        <f t="shared" si="10"/>
        <v>13.255290311839165</v>
      </c>
      <c r="E140" s="3">
        <f t="shared" si="11"/>
        <v>0.92985060436338574</v>
      </c>
      <c r="F140" s="4">
        <f t="shared" si="12"/>
        <v>-2.6571280877720724</v>
      </c>
    </row>
    <row r="141" spans="1:6">
      <c r="A141">
        <v>32</v>
      </c>
      <c r="B141">
        <v>1</v>
      </c>
      <c r="C141">
        <f t="shared" si="9"/>
        <v>2.584396741563697</v>
      </c>
      <c r="D141" s="3">
        <f t="shared" si="10"/>
        <v>13.255290311839165</v>
      </c>
      <c r="E141" s="3">
        <f t="shared" si="11"/>
        <v>0.92985060436338574</v>
      </c>
      <c r="F141" s="4">
        <f t="shared" si="12"/>
        <v>-7.2731346208375319E-2</v>
      </c>
    </row>
    <row r="142" spans="1:6">
      <c r="A142">
        <v>30</v>
      </c>
      <c r="B142">
        <v>1</v>
      </c>
      <c r="C142">
        <f t="shared" si="9"/>
        <v>2.7789525929219989</v>
      </c>
      <c r="D142" s="3">
        <f t="shared" si="10"/>
        <v>16.102146610089314</v>
      </c>
      <c r="E142" s="3">
        <f t="shared" si="11"/>
        <v>0.94152780801153602</v>
      </c>
      <c r="F142" s="4">
        <f t="shared" si="12"/>
        <v>-6.0251395461799473E-2</v>
      </c>
    </row>
    <row r="143" spans="1:6">
      <c r="A143">
        <v>29</v>
      </c>
      <c r="B143">
        <v>1</v>
      </c>
      <c r="C143">
        <f t="shared" si="9"/>
        <v>2.8762305186011501</v>
      </c>
      <c r="D143" s="3">
        <f t="shared" si="10"/>
        <v>17.747249010768609</v>
      </c>
      <c r="E143" s="3">
        <f t="shared" si="11"/>
        <v>0.94665884048237747</v>
      </c>
      <c r="F143" s="4">
        <f t="shared" si="12"/>
        <v>-5.481650362524778E-2</v>
      </c>
    </row>
    <row r="144" spans="1:6">
      <c r="A144">
        <v>28</v>
      </c>
      <c r="B144">
        <v>1</v>
      </c>
      <c r="C144">
        <f t="shared" si="9"/>
        <v>2.9735084442803008</v>
      </c>
      <c r="D144" s="3">
        <f t="shared" si="10"/>
        <v>19.560426015055413</v>
      </c>
      <c r="E144" s="3">
        <f t="shared" si="11"/>
        <v>0.95136287549354537</v>
      </c>
      <c r="F144" s="4">
        <f t="shared" si="12"/>
        <v>-4.9859716668620373E-2</v>
      </c>
    </row>
    <row r="145" spans="1:6">
      <c r="A145">
        <v>27</v>
      </c>
      <c r="B145">
        <v>1</v>
      </c>
      <c r="C145">
        <f t="shared" si="9"/>
        <v>3.070786369959452</v>
      </c>
      <c r="D145" s="3">
        <f t="shared" si="10"/>
        <v>21.558849242397955</v>
      </c>
      <c r="E145" s="3">
        <f t="shared" si="11"/>
        <v>0.95567149772336069</v>
      </c>
      <c r="F145" s="4">
        <f t="shared" si="12"/>
        <v>-4.5341046610459235E-2</v>
      </c>
    </row>
    <row r="146" spans="1:6">
      <c r="A146">
        <v>24</v>
      </c>
      <c r="B146">
        <v>1</v>
      </c>
      <c r="C146">
        <f t="shared" si="9"/>
        <v>3.3626201469969046</v>
      </c>
      <c r="D146" s="3">
        <f t="shared" si="10"/>
        <v>28.864721698982507</v>
      </c>
      <c r="E146" s="3">
        <f t="shared" si="11"/>
        <v>0.96651567658726689</v>
      </c>
      <c r="F146" s="4">
        <f t="shared" si="12"/>
        <v>-3.405776050950781E-2</v>
      </c>
    </row>
    <row r="147" spans="1:6">
      <c r="A147">
        <v>50</v>
      </c>
      <c r="B147">
        <v>1</v>
      </c>
      <c r="C147">
        <f t="shared" si="9"/>
        <v>0.83339407933898002</v>
      </c>
      <c r="D147" s="3">
        <f t="shared" si="10"/>
        <v>2.3011156702327611</v>
      </c>
      <c r="E147" s="3">
        <f t="shared" si="11"/>
        <v>0.69707211140241865</v>
      </c>
      <c r="F147" s="4">
        <f t="shared" si="12"/>
        <v>-0.36086641388536594</v>
      </c>
    </row>
    <row r="148" spans="1:6">
      <c r="A148">
        <v>41</v>
      </c>
      <c r="B148">
        <v>1</v>
      </c>
      <c r="C148">
        <f t="shared" si="9"/>
        <v>1.7088954104513383</v>
      </c>
      <c r="D148" s="3">
        <f t="shared" si="10"/>
        <v>5.5228576163121925</v>
      </c>
      <c r="E148" s="3">
        <f t="shared" si="11"/>
        <v>0.84669295900324026</v>
      </c>
      <c r="F148" s="4">
        <f t="shared" si="12"/>
        <v>-0.16641715417899317</v>
      </c>
    </row>
    <row r="149" spans="1:6">
      <c r="A149">
        <v>25</v>
      </c>
      <c r="B149">
        <v>1</v>
      </c>
      <c r="C149">
        <f t="shared" si="9"/>
        <v>3.2653422213177539</v>
      </c>
      <c r="D149" s="3">
        <f t="shared" si="10"/>
        <v>26.189071916127556</v>
      </c>
      <c r="E149" s="3">
        <f t="shared" si="11"/>
        <v>0.96322051730618885</v>
      </c>
      <c r="F149" s="4">
        <f t="shared" si="12"/>
        <v>-3.7472903464467466E-2</v>
      </c>
    </row>
    <row r="150" spans="1:6">
      <c r="A150">
        <v>38</v>
      </c>
      <c r="B150">
        <v>1</v>
      </c>
      <c r="C150">
        <f t="shared" si="9"/>
        <v>2.0007291874887914</v>
      </c>
      <c r="D150" s="3">
        <f t="shared" si="10"/>
        <v>7.3944460711032773</v>
      </c>
      <c r="E150" s="3">
        <f t="shared" si="11"/>
        <v>0.88087361673066633</v>
      </c>
      <c r="F150" s="4">
        <f t="shared" si="12"/>
        <v>-0.12684111767174036</v>
      </c>
    </row>
    <row r="151" spans="1:6">
      <c r="A151">
        <v>36</v>
      </c>
      <c r="B151">
        <v>0</v>
      </c>
      <c r="C151">
        <f t="shared" si="9"/>
        <v>2.1952850388470933</v>
      </c>
      <c r="D151" s="3">
        <f t="shared" si="10"/>
        <v>8.9825610708018857</v>
      </c>
      <c r="E151" s="3">
        <f t="shared" si="11"/>
        <v>0.8998253060604946</v>
      </c>
      <c r="F151" s="4">
        <f t="shared" si="12"/>
        <v>-2.3008396777228404</v>
      </c>
    </row>
    <row r="152" spans="1:6">
      <c r="A152">
        <v>27</v>
      </c>
      <c r="B152">
        <v>1</v>
      </c>
      <c r="C152">
        <f t="shared" si="9"/>
        <v>3.070786369959452</v>
      </c>
      <c r="D152" s="3">
        <f t="shared" si="10"/>
        <v>21.558849242397955</v>
      </c>
      <c r="E152" s="3">
        <f t="shared" si="11"/>
        <v>0.95567149772336069</v>
      </c>
      <c r="F152" s="4">
        <f t="shared" si="12"/>
        <v>-4.5341046610459235E-2</v>
      </c>
    </row>
    <row r="153" spans="1:6">
      <c r="A153">
        <v>51</v>
      </c>
      <c r="B153">
        <v>0</v>
      </c>
      <c r="C153">
        <f t="shared" si="9"/>
        <v>0.73611615365982885</v>
      </c>
      <c r="D153" s="3">
        <f t="shared" si="10"/>
        <v>2.0878110103925982</v>
      </c>
      <c r="E153" s="3">
        <f t="shared" si="11"/>
        <v>0.67614598282268079</v>
      </c>
      <c r="F153" s="4">
        <f t="shared" si="12"/>
        <v>-1.1274624289919202</v>
      </c>
    </row>
    <row r="154" spans="1:6">
      <c r="A154">
        <v>48</v>
      </c>
      <c r="B154">
        <v>0</v>
      </c>
      <c r="C154">
        <f t="shared" si="9"/>
        <v>1.0279499306972815</v>
      </c>
      <c r="D154" s="3">
        <f t="shared" si="10"/>
        <v>2.7953293377337407</v>
      </c>
      <c r="E154" s="3">
        <f t="shared" si="11"/>
        <v>0.73651825414520733</v>
      </c>
      <c r="F154" s="4">
        <f t="shared" si="12"/>
        <v>-1.3337711890937782</v>
      </c>
    </row>
    <row r="155" spans="1:6">
      <c r="A155">
        <v>32</v>
      </c>
      <c r="B155">
        <v>1</v>
      </c>
      <c r="C155">
        <f t="shared" si="9"/>
        <v>2.584396741563697</v>
      </c>
      <c r="D155" s="3">
        <f t="shared" si="10"/>
        <v>13.255290311839165</v>
      </c>
      <c r="E155" s="3">
        <f t="shared" si="11"/>
        <v>0.92985060436338574</v>
      </c>
      <c r="F155" s="4">
        <f t="shared" si="12"/>
        <v>-7.2731346208375319E-2</v>
      </c>
    </row>
    <row r="156" spans="1:6">
      <c r="A156">
        <v>31</v>
      </c>
      <c r="B156">
        <v>1</v>
      </c>
      <c r="C156">
        <f t="shared" si="9"/>
        <v>2.6816746672428482</v>
      </c>
      <c r="D156" s="3">
        <f t="shared" si="10"/>
        <v>14.609538937301574</v>
      </c>
      <c r="E156" s="3">
        <f t="shared" si="11"/>
        <v>0.93593660876104834</v>
      </c>
      <c r="F156" s="4">
        <f t="shared" si="12"/>
        <v>-6.6207530480673266E-2</v>
      </c>
    </row>
    <row r="157" spans="1:6">
      <c r="A157">
        <v>20</v>
      </c>
      <c r="B157">
        <v>1</v>
      </c>
      <c r="C157">
        <f t="shared" si="9"/>
        <v>3.7517318497135088</v>
      </c>
      <c r="D157" s="3">
        <f t="shared" si="10"/>
        <v>42.594785927383683</v>
      </c>
      <c r="E157" s="3">
        <f t="shared" si="11"/>
        <v>0.97706147699255341</v>
      </c>
      <c r="F157" s="4">
        <f t="shared" si="12"/>
        <v>-2.3205704668691349E-2</v>
      </c>
    </row>
    <row r="158" spans="1:6">
      <c r="A158">
        <v>56</v>
      </c>
      <c r="B158">
        <v>0</v>
      </c>
      <c r="C158">
        <f t="shared" si="9"/>
        <v>0.24972652526407391</v>
      </c>
      <c r="D158" s="3">
        <f t="shared" si="10"/>
        <v>1.283674316186737</v>
      </c>
      <c r="E158" s="3">
        <f t="shared" si="11"/>
        <v>0.56210918828837519</v>
      </c>
      <c r="F158" s="4">
        <f t="shared" si="12"/>
        <v>-0.82578568801281527</v>
      </c>
    </row>
    <row r="159" spans="1:6">
      <c r="A159">
        <v>50</v>
      </c>
      <c r="B159">
        <v>1</v>
      </c>
      <c r="C159">
        <f t="shared" si="9"/>
        <v>0.83339407933898002</v>
      </c>
      <c r="D159" s="3">
        <f t="shared" si="10"/>
        <v>2.3011156702327611</v>
      </c>
      <c r="E159" s="3">
        <f t="shared" si="11"/>
        <v>0.69707211140241865</v>
      </c>
      <c r="F159" s="4">
        <f t="shared" si="12"/>
        <v>-0.36086641388536594</v>
      </c>
    </row>
    <row r="160" spans="1:6">
      <c r="A160">
        <v>49</v>
      </c>
      <c r="B160">
        <v>0</v>
      </c>
      <c r="C160">
        <f t="shared" si="9"/>
        <v>0.9306720050181303</v>
      </c>
      <c r="D160" s="3">
        <f t="shared" si="10"/>
        <v>2.5362129529123676</v>
      </c>
      <c r="E160" s="3">
        <f t="shared" si="11"/>
        <v>0.7172116008521443</v>
      </c>
      <c r="F160" s="4">
        <f t="shared" si="12"/>
        <v>-1.2630563672019133</v>
      </c>
    </row>
    <row r="161" spans="1:6">
      <c r="A161">
        <v>49</v>
      </c>
      <c r="B161">
        <v>0</v>
      </c>
      <c r="C161">
        <f t="shared" si="9"/>
        <v>0.9306720050181303</v>
      </c>
      <c r="D161" s="3">
        <f t="shared" si="10"/>
        <v>2.5362129529123676</v>
      </c>
      <c r="E161" s="3">
        <f t="shared" si="11"/>
        <v>0.7172116008521443</v>
      </c>
      <c r="F161" s="4">
        <f t="shared" si="12"/>
        <v>-1.2630563672019133</v>
      </c>
    </row>
    <row r="162" spans="1:6">
      <c r="A162">
        <v>46</v>
      </c>
      <c r="B162">
        <v>0</v>
      </c>
      <c r="C162">
        <f t="shared" si="9"/>
        <v>1.2225057820555838</v>
      </c>
      <c r="D162" s="3">
        <f t="shared" si="10"/>
        <v>3.3956859307314069</v>
      </c>
      <c r="E162" s="3">
        <f t="shared" si="11"/>
        <v>0.77250421987414186</v>
      </c>
      <c r="F162" s="4">
        <f t="shared" si="12"/>
        <v>-1.4806235896604918</v>
      </c>
    </row>
    <row r="163" spans="1:6">
      <c r="A163">
        <v>42</v>
      </c>
      <c r="B163">
        <v>1</v>
      </c>
      <c r="C163">
        <f t="shared" si="9"/>
        <v>1.6116174847721876</v>
      </c>
      <c r="D163" s="3">
        <f t="shared" si="10"/>
        <v>5.010909746662529</v>
      </c>
      <c r="E163" s="3">
        <f t="shared" si="11"/>
        <v>0.83363583182142509</v>
      </c>
      <c r="F163" s="4">
        <f t="shared" si="12"/>
        <v>-0.18195862447614647</v>
      </c>
    </row>
    <row r="164" spans="1:6">
      <c r="A164">
        <v>40</v>
      </c>
      <c r="B164">
        <v>1</v>
      </c>
      <c r="C164">
        <f t="shared" si="9"/>
        <v>1.8061733361304895</v>
      </c>
      <c r="D164" s="3">
        <f t="shared" si="10"/>
        <v>6.0871094855326735</v>
      </c>
      <c r="E164" s="3">
        <f t="shared" si="11"/>
        <v>0.8588987510294066</v>
      </c>
      <c r="F164" s="4">
        <f t="shared" si="12"/>
        <v>-0.15210423236236398</v>
      </c>
    </row>
    <row r="165" spans="1:6">
      <c r="A165">
        <v>34</v>
      </c>
      <c r="B165">
        <v>1</v>
      </c>
      <c r="C165">
        <f t="shared" si="9"/>
        <v>2.3898408902053951</v>
      </c>
      <c r="D165" s="3">
        <f t="shared" si="10"/>
        <v>10.911757637397555</v>
      </c>
      <c r="E165" s="3">
        <f t="shared" si="11"/>
        <v>0.91604933289941615</v>
      </c>
      <c r="F165" s="4">
        <f t="shared" si="12"/>
        <v>-8.7685058881144459E-2</v>
      </c>
    </row>
    <row r="166" spans="1:6">
      <c r="A166">
        <v>31</v>
      </c>
      <c r="B166">
        <v>0</v>
      </c>
      <c r="C166">
        <f t="shared" si="9"/>
        <v>2.6816746672428482</v>
      </c>
      <c r="D166" s="3">
        <f t="shared" si="10"/>
        <v>14.609538937301574</v>
      </c>
      <c r="E166" s="3">
        <f t="shared" si="11"/>
        <v>0.93593660876104834</v>
      </c>
      <c r="F166" s="4">
        <f t="shared" si="12"/>
        <v>-2.7478821977235208</v>
      </c>
    </row>
    <row r="167" spans="1:6">
      <c r="A167">
        <v>23</v>
      </c>
      <c r="B167">
        <v>1</v>
      </c>
      <c r="C167">
        <f t="shared" si="9"/>
        <v>3.4598980726760558</v>
      </c>
      <c r="D167" s="3">
        <f t="shared" si="10"/>
        <v>31.813733660666077</v>
      </c>
      <c r="E167" s="3">
        <f t="shared" si="11"/>
        <v>0.96952495530252014</v>
      </c>
      <c r="F167" s="4">
        <f t="shared" si="12"/>
        <v>-3.0949064246469118E-2</v>
      </c>
    </row>
    <row r="168" spans="1:6">
      <c r="A168">
        <v>20</v>
      </c>
      <c r="B168">
        <v>1</v>
      </c>
      <c r="C168">
        <f t="shared" si="9"/>
        <v>3.7517318497135088</v>
      </c>
      <c r="D168" s="3">
        <f t="shared" si="10"/>
        <v>42.594785927383683</v>
      </c>
      <c r="E168" s="3">
        <f t="shared" si="11"/>
        <v>0.97706147699255341</v>
      </c>
      <c r="F168" s="4">
        <f t="shared" si="12"/>
        <v>-2.3205704668691349E-2</v>
      </c>
    </row>
    <row r="169" spans="1:6">
      <c r="A169">
        <v>59</v>
      </c>
      <c r="B169">
        <v>0</v>
      </c>
      <c r="C169">
        <f t="shared" si="9"/>
        <v>-4.2107251773378707E-2</v>
      </c>
      <c r="D169" s="3">
        <f t="shared" si="10"/>
        <v>0.95876694560279396</v>
      </c>
      <c r="E169" s="3">
        <f t="shared" si="11"/>
        <v>0.48947474213566611</v>
      </c>
      <c r="F169" s="4">
        <f t="shared" si="12"/>
        <v>-0.67231516588375095</v>
      </c>
    </row>
    <row r="170" spans="1:6">
      <c r="A170">
        <v>58</v>
      </c>
      <c r="B170">
        <v>1</v>
      </c>
      <c r="C170">
        <f t="shared" si="9"/>
        <v>5.517067390577246E-2</v>
      </c>
      <c r="D170" s="3">
        <f t="shared" si="10"/>
        <v>1.0567209539779769</v>
      </c>
      <c r="E170" s="3">
        <f t="shared" si="11"/>
        <v>0.51378917102688892</v>
      </c>
      <c r="F170" s="4">
        <f t="shared" si="12"/>
        <v>-0.66594227077040546</v>
      </c>
    </row>
    <row r="171" spans="1:6">
      <c r="A171">
        <v>57</v>
      </c>
      <c r="B171">
        <v>1</v>
      </c>
      <c r="C171">
        <f t="shared" si="9"/>
        <v>0.15244859958492274</v>
      </c>
      <c r="D171" s="3">
        <f t="shared" si="10"/>
        <v>1.1646825953872044</v>
      </c>
      <c r="E171" s="3">
        <f t="shared" si="11"/>
        <v>0.53803850867977876</v>
      </c>
      <c r="F171" s="4">
        <f t="shared" si="12"/>
        <v>-0.61982514391018995</v>
      </c>
    </row>
    <row r="172" spans="1:6">
      <c r="A172">
        <v>56</v>
      </c>
      <c r="B172">
        <v>0</v>
      </c>
      <c r="C172">
        <f t="shared" si="9"/>
        <v>0.24972652526407391</v>
      </c>
      <c r="D172" s="3">
        <f t="shared" si="10"/>
        <v>1.283674316186737</v>
      </c>
      <c r="E172" s="3">
        <f t="shared" si="11"/>
        <v>0.56210918828837519</v>
      </c>
      <c r="F172" s="4">
        <f t="shared" si="12"/>
        <v>-0.82578568801281527</v>
      </c>
    </row>
    <row r="173" spans="1:6">
      <c r="A173">
        <v>56</v>
      </c>
      <c r="B173">
        <v>1</v>
      </c>
      <c r="C173">
        <f t="shared" si="9"/>
        <v>0.24972652526407391</v>
      </c>
      <c r="D173" s="3">
        <f t="shared" si="10"/>
        <v>1.283674316186737</v>
      </c>
      <c r="E173" s="3">
        <f t="shared" si="11"/>
        <v>0.56210918828837519</v>
      </c>
      <c r="F173" s="4">
        <f t="shared" si="12"/>
        <v>-0.57605916274874136</v>
      </c>
    </row>
    <row r="174" spans="1:6">
      <c r="A174">
        <v>55</v>
      </c>
      <c r="B174">
        <v>1</v>
      </c>
      <c r="C174">
        <f t="shared" si="9"/>
        <v>0.34700445094322507</v>
      </c>
      <c r="D174" s="3">
        <f t="shared" si="10"/>
        <v>1.4148230226533616</v>
      </c>
      <c r="E174" s="3">
        <f t="shared" si="11"/>
        <v>0.58589097808864721</v>
      </c>
      <c r="F174" s="4">
        <f t="shared" si="12"/>
        <v>-0.5346215509308222</v>
      </c>
    </row>
    <row r="175" spans="1:6">
      <c r="A175">
        <v>51</v>
      </c>
      <c r="B175">
        <v>1</v>
      </c>
      <c r="C175">
        <f t="shared" si="9"/>
        <v>0.73611615365982885</v>
      </c>
      <c r="D175" s="3">
        <f t="shared" si="10"/>
        <v>2.0878110103925982</v>
      </c>
      <c r="E175" s="3">
        <f t="shared" si="11"/>
        <v>0.67614598282268079</v>
      </c>
      <c r="F175" s="4">
        <f t="shared" si="12"/>
        <v>-0.39134627533209132</v>
      </c>
    </row>
    <row r="176" spans="1:6">
      <c r="A176">
        <v>48</v>
      </c>
      <c r="B176">
        <v>1</v>
      </c>
      <c r="C176">
        <f t="shared" si="9"/>
        <v>1.0279499306972815</v>
      </c>
      <c r="D176" s="3">
        <f t="shared" si="10"/>
        <v>2.7953293377337407</v>
      </c>
      <c r="E176" s="3">
        <f t="shared" si="11"/>
        <v>0.73651825414520733</v>
      </c>
      <c r="F176" s="4">
        <f t="shared" si="12"/>
        <v>-0.30582125839649665</v>
      </c>
    </row>
    <row r="177" spans="1:6">
      <c r="A177">
        <v>41</v>
      </c>
      <c r="B177">
        <v>1</v>
      </c>
      <c r="C177">
        <f t="shared" si="9"/>
        <v>1.7088954104513383</v>
      </c>
      <c r="D177" s="3">
        <f t="shared" si="10"/>
        <v>5.5228576163121925</v>
      </c>
      <c r="E177" s="3">
        <f t="shared" si="11"/>
        <v>0.84669295900324026</v>
      </c>
      <c r="F177" s="4">
        <f t="shared" si="12"/>
        <v>-0.16641715417899317</v>
      </c>
    </row>
    <row r="178" spans="1:6">
      <c r="A178">
        <v>40</v>
      </c>
      <c r="B178">
        <v>1</v>
      </c>
      <c r="C178">
        <f t="shared" si="9"/>
        <v>1.8061733361304895</v>
      </c>
      <c r="D178" s="3">
        <f t="shared" si="10"/>
        <v>6.0871094855326735</v>
      </c>
      <c r="E178" s="3">
        <f t="shared" si="11"/>
        <v>0.8588987510294066</v>
      </c>
      <c r="F178" s="4">
        <f t="shared" si="12"/>
        <v>-0.15210423236236398</v>
      </c>
    </row>
    <row r="179" spans="1:6">
      <c r="A179">
        <v>37</v>
      </c>
      <c r="B179">
        <v>1</v>
      </c>
      <c r="C179">
        <f t="shared" si="9"/>
        <v>2.0980071131679421</v>
      </c>
      <c r="D179" s="3">
        <f t="shared" si="10"/>
        <v>8.1499118656851888</v>
      </c>
      <c r="E179" s="3">
        <f t="shared" si="11"/>
        <v>0.89070932980783246</v>
      </c>
      <c r="F179" s="4">
        <f t="shared" si="12"/>
        <v>-0.11573713390754511</v>
      </c>
    </row>
    <row r="180" spans="1:6">
      <c r="A180">
        <v>37</v>
      </c>
      <c r="B180">
        <v>1</v>
      </c>
      <c r="C180">
        <f t="shared" si="9"/>
        <v>2.0980071131679421</v>
      </c>
      <c r="D180" s="3">
        <f t="shared" si="10"/>
        <v>8.1499118656851888</v>
      </c>
      <c r="E180" s="3">
        <f t="shared" si="11"/>
        <v>0.89070932980783246</v>
      </c>
      <c r="F180" s="4">
        <f t="shared" si="12"/>
        <v>-0.11573713390754511</v>
      </c>
    </row>
    <row r="181" spans="1:6">
      <c r="A181">
        <v>35</v>
      </c>
      <c r="B181">
        <v>1</v>
      </c>
      <c r="C181">
        <f t="shared" si="9"/>
        <v>2.292562964526244</v>
      </c>
      <c r="D181" s="3">
        <f t="shared" si="10"/>
        <v>9.9002792570569653</v>
      </c>
      <c r="E181" s="3">
        <f t="shared" si="11"/>
        <v>0.90825923112450646</v>
      </c>
      <c r="F181" s="4">
        <f t="shared" si="12"/>
        <v>-9.6225444294152598E-2</v>
      </c>
    </row>
    <row r="182" spans="1:6">
      <c r="A182">
        <v>34</v>
      </c>
      <c r="B182">
        <v>1</v>
      </c>
      <c r="C182">
        <f t="shared" si="9"/>
        <v>2.3898408902053951</v>
      </c>
      <c r="D182" s="3">
        <f t="shared" si="10"/>
        <v>10.911757637397555</v>
      </c>
      <c r="E182" s="3">
        <f t="shared" si="11"/>
        <v>0.91604933289941615</v>
      </c>
      <c r="F182" s="4">
        <f t="shared" si="12"/>
        <v>-8.7685058881144459E-2</v>
      </c>
    </row>
    <row r="183" spans="1:6">
      <c r="A183">
        <v>30</v>
      </c>
      <c r="B183">
        <v>1</v>
      </c>
      <c r="C183">
        <f t="shared" si="9"/>
        <v>2.7789525929219989</v>
      </c>
      <c r="D183" s="3">
        <f t="shared" si="10"/>
        <v>16.102146610089314</v>
      </c>
      <c r="E183" s="3">
        <f t="shared" si="11"/>
        <v>0.94152780801153602</v>
      </c>
      <c r="F183" s="4">
        <f t="shared" si="12"/>
        <v>-6.0251395461799473E-2</v>
      </c>
    </row>
    <row r="184" spans="1:6">
      <c r="A184">
        <v>29</v>
      </c>
      <c r="B184">
        <v>1</v>
      </c>
      <c r="C184">
        <f t="shared" si="9"/>
        <v>2.8762305186011501</v>
      </c>
      <c r="D184" s="3">
        <f t="shared" si="10"/>
        <v>17.747249010768609</v>
      </c>
      <c r="E184" s="3">
        <f t="shared" si="11"/>
        <v>0.94665884048237747</v>
      </c>
      <c r="F184" s="4">
        <f t="shared" si="12"/>
        <v>-5.481650362524778E-2</v>
      </c>
    </row>
    <row r="185" spans="1:6">
      <c r="A185">
        <v>19</v>
      </c>
      <c r="B185">
        <v>1</v>
      </c>
      <c r="C185">
        <f t="shared" si="9"/>
        <v>3.8490097753926595</v>
      </c>
      <c r="D185" s="3">
        <f t="shared" si="10"/>
        <v>46.946552575791479</v>
      </c>
      <c r="E185" s="3">
        <f t="shared" si="11"/>
        <v>0.97914344314079205</v>
      </c>
      <c r="F185" s="4">
        <f t="shared" si="12"/>
        <v>-2.1077127122546516E-2</v>
      </c>
    </row>
    <row r="186" spans="1:6">
      <c r="A186">
        <v>59</v>
      </c>
      <c r="B186">
        <v>0</v>
      </c>
      <c r="C186">
        <f t="shared" si="9"/>
        <v>-4.2107251773378707E-2</v>
      </c>
      <c r="D186" s="3">
        <f t="shared" si="10"/>
        <v>0.95876694560279396</v>
      </c>
      <c r="E186" s="3">
        <f t="shared" si="11"/>
        <v>0.48947474213566611</v>
      </c>
      <c r="F186" s="4">
        <f t="shared" si="12"/>
        <v>-0.67231516588375095</v>
      </c>
    </row>
    <row r="187" spans="1:6">
      <c r="A187">
        <v>53</v>
      </c>
      <c r="B187">
        <v>1</v>
      </c>
      <c r="C187">
        <f t="shared" si="9"/>
        <v>0.54156030230152652</v>
      </c>
      <c r="D187" s="3">
        <f t="shared" si="10"/>
        <v>1.7186864415746761</v>
      </c>
      <c r="E187" s="3">
        <f t="shared" si="11"/>
        <v>0.63217530910964659</v>
      </c>
      <c r="F187" s="4">
        <f t="shared" si="12"/>
        <v>-0.45858853546845196</v>
      </c>
    </row>
    <row r="188" spans="1:6">
      <c r="A188">
        <v>51</v>
      </c>
      <c r="B188">
        <v>1</v>
      </c>
      <c r="C188">
        <f t="shared" si="9"/>
        <v>0.73611615365982885</v>
      </c>
      <c r="D188" s="3">
        <f t="shared" si="10"/>
        <v>2.0878110103925982</v>
      </c>
      <c r="E188" s="3">
        <f t="shared" si="11"/>
        <v>0.67614598282268079</v>
      </c>
      <c r="F188" s="4">
        <f t="shared" si="12"/>
        <v>-0.39134627533209132</v>
      </c>
    </row>
    <row r="189" spans="1:6">
      <c r="A189">
        <v>50</v>
      </c>
      <c r="B189">
        <v>1</v>
      </c>
      <c r="C189">
        <f t="shared" si="9"/>
        <v>0.83339407933898002</v>
      </c>
      <c r="D189" s="3">
        <f t="shared" si="10"/>
        <v>2.3011156702327611</v>
      </c>
      <c r="E189" s="3">
        <f t="shared" si="11"/>
        <v>0.69707211140241865</v>
      </c>
      <c r="F189" s="4">
        <f t="shared" si="12"/>
        <v>-0.36086641388536594</v>
      </c>
    </row>
    <row r="190" spans="1:6">
      <c r="A190">
        <v>48</v>
      </c>
      <c r="B190">
        <v>1</v>
      </c>
      <c r="C190">
        <f t="shared" si="9"/>
        <v>1.0279499306972815</v>
      </c>
      <c r="D190" s="3">
        <f t="shared" si="10"/>
        <v>2.7953293377337407</v>
      </c>
      <c r="E190" s="3">
        <f t="shared" si="11"/>
        <v>0.73651825414520733</v>
      </c>
      <c r="F190" s="4">
        <f t="shared" si="12"/>
        <v>-0.30582125839649665</v>
      </c>
    </row>
    <row r="191" spans="1:6">
      <c r="A191">
        <v>48</v>
      </c>
      <c r="B191">
        <v>1</v>
      </c>
      <c r="C191">
        <f t="shared" si="9"/>
        <v>1.0279499306972815</v>
      </c>
      <c r="D191" s="3">
        <f t="shared" si="10"/>
        <v>2.7953293377337407</v>
      </c>
      <c r="E191" s="3">
        <f t="shared" si="11"/>
        <v>0.73651825414520733</v>
      </c>
      <c r="F191" s="4">
        <f t="shared" si="12"/>
        <v>-0.30582125839649665</v>
      </c>
    </row>
    <row r="192" spans="1:6">
      <c r="A192">
        <v>45</v>
      </c>
      <c r="B192">
        <v>1</v>
      </c>
      <c r="C192">
        <f t="shared" si="9"/>
        <v>1.319783707734735</v>
      </c>
      <c r="D192" s="3">
        <f t="shared" si="10"/>
        <v>3.7426117917280339</v>
      </c>
      <c r="E192" s="3">
        <f t="shared" si="11"/>
        <v>0.78914571887494989</v>
      </c>
      <c r="F192" s="4">
        <f t="shared" si="12"/>
        <v>-0.23680428713456608</v>
      </c>
    </row>
    <row r="193" spans="1:6">
      <c r="A193">
        <v>40</v>
      </c>
      <c r="B193">
        <v>1</v>
      </c>
      <c r="C193">
        <f t="shared" si="9"/>
        <v>1.8061733361304895</v>
      </c>
      <c r="D193" s="3">
        <f t="shared" si="10"/>
        <v>6.0871094855326735</v>
      </c>
      <c r="E193" s="3">
        <f t="shared" si="11"/>
        <v>0.8588987510294066</v>
      </c>
      <c r="F193" s="4">
        <f t="shared" si="12"/>
        <v>-0.15210423236236398</v>
      </c>
    </row>
    <row r="194" spans="1:6">
      <c r="A194">
        <v>37</v>
      </c>
      <c r="B194">
        <v>0</v>
      </c>
      <c r="C194">
        <f t="shared" si="9"/>
        <v>2.0980071131679421</v>
      </c>
      <c r="D194" s="3">
        <f t="shared" si="10"/>
        <v>8.1499118656851888</v>
      </c>
      <c r="E194" s="3">
        <f t="shared" si="11"/>
        <v>0.89070932980783246</v>
      </c>
      <c r="F194" s="4">
        <f t="shared" si="12"/>
        <v>-2.2137442470754869</v>
      </c>
    </row>
    <row r="195" spans="1:6">
      <c r="A195">
        <v>37</v>
      </c>
      <c r="B195">
        <v>1</v>
      </c>
      <c r="C195">
        <f t="shared" ref="C195:C258" si="13">A195*$J$4+$J$3</f>
        <v>2.0980071131679421</v>
      </c>
      <c r="D195" s="3">
        <f t="shared" ref="D195:D258" si="14">EXP(C195)</f>
        <v>8.1499118656851888</v>
      </c>
      <c r="E195" s="3">
        <f t="shared" ref="E195:E258" si="15">D195/(1+D195)</f>
        <v>0.89070932980783246</v>
      </c>
      <c r="F195" s="4">
        <f t="shared" ref="F195:F258" si="16">B195*LN(E195)+(1-B195)*LN(1-E195)</f>
        <v>-0.11573713390754511</v>
      </c>
    </row>
    <row r="196" spans="1:6">
      <c r="A196">
        <v>37</v>
      </c>
      <c r="B196">
        <v>1</v>
      </c>
      <c r="C196">
        <f t="shared" si="13"/>
        <v>2.0980071131679421</v>
      </c>
      <c r="D196" s="3">
        <f t="shared" si="14"/>
        <v>8.1499118656851888</v>
      </c>
      <c r="E196" s="3">
        <f t="shared" si="15"/>
        <v>0.89070932980783246</v>
      </c>
      <c r="F196" s="4">
        <f t="shared" si="16"/>
        <v>-0.11573713390754511</v>
      </c>
    </row>
    <row r="197" spans="1:6">
      <c r="A197">
        <v>36</v>
      </c>
      <c r="B197">
        <v>0</v>
      </c>
      <c r="C197">
        <f t="shared" si="13"/>
        <v>2.1952850388470933</v>
      </c>
      <c r="D197" s="3">
        <f t="shared" si="14"/>
        <v>8.9825610708018857</v>
      </c>
      <c r="E197" s="3">
        <f t="shared" si="15"/>
        <v>0.8998253060604946</v>
      </c>
      <c r="F197" s="4">
        <f t="shared" si="16"/>
        <v>-2.3008396777228404</v>
      </c>
    </row>
    <row r="198" spans="1:6">
      <c r="A198">
        <v>36</v>
      </c>
      <c r="B198">
        <v>1</v>
      </c>
      <c r="C198">
        <f t="shared" si="13"/>
        <v>2.1952850388470933</v>
      </c>
      <c r="D198" s="3">
        <f t="shared" si="14"/>
        <v>8.9825610708018857</v>
      </c>
      <c r="E198" s="3">
        <f t="shared" si="15"/>
        <v>0.8998253060604946</v>
      </c>
      <c r="F198" s="4">
        <f t="shared" si="16"/>
        <v>-0.10555463887574723</v>
      </c>
    </row>
    <row r="199" spans="1:6">
      <c r="A199">
        <v>29</v>
      </c>
      <c r="B199">
        <v>1</v>
      </c>
      <c r="C199">
        <f t="shared" si="13"/>
        <v>2.8762305186011501</v>
      </c>
      <c r="D199" s="3">
        <f t="shared" si="14"/>
        <v>17.747249010768609</v>
      </c>
      <c r="E199" s="3">
        <f t="shared" si="15"/>
        <v>0.94665884048237747</v>
      </c>
      <c r="F199" s="4">
        <f t="shared" si="16"/>
        <v>-5.481650362524778E-2</v>
      </c>
    </row>
    <row r="200" spans="1:6">
      <c r="A200">
        <v>28</v>
      </c>
      <c r="B200">
        <v>1</v>
      </c>
      <c r="C200">
        <f t="shared" si="13"/>
        <v>2.9735084442803008</v>
      </c>
      <c r="D200" s="3">
        <f t="shared" si="14"/>
        <v>19.560426015055413</v>
      </c>
      <c r="E200" s="3">
        <f t="shared" si="15"/>
        <v>0.95136287549354537</v>
      </c>
      <c r="F200" s="4">
        <f t="shared" si="16"/>
        <v>-4.9859716668620373E-2</v>
      </c>
    </row>
    <row r="201" spans="1:6">
      <c r="A201">
        <v>28</v>
      </c>
      <c r="B201">
        <v>1</v>
      </c>
      <c r="C201">
        <f t="shared" si="13"/>
        <v>2.9735084442803008</v>
      </c>
      <c r="D201" s="3">
        <f t="shared" si="14"/>
        <v>19.560426015055413</v>
      </c>
      <c r="E201" s="3">
        <f t="shared" si="15"/>
        <v>0.95136287549354537</v>
      </c>
      <c r="F201" s="4">
        <f t="shared" si="16"/>
        <v>-4.9859716668620373E-2</v>
      </c>
    </row>
    <row r="202" spans="1:6">
      <c r="A202">
        <v>23</v>
      </c>
      <c r="B202">
        <v>1</v>
      </c>
      <c r="C202">
        <f t="shared" si="13"/>
        <v>3.4598980726760558</v>
      </c>
      <c r="D202" s="3">
        <f t="shared" si="14"/>
        <v>31.813733660666077</v>
      </c>
      <c r="E202" s="3">
        <f t="shared" si="15"/>
        <v>0.96952495530252014</v>
      </c>
      <c r="F202" s="4">
        <f t="shared" si="16"/>
        <v>-3.0949064246469118E-2</v>
      </c>
    </row>
    <row r="203" spans="1:6">
      <c r="A203">
        <v>59</v>
      </c>
      <c r="B203">
        <v>0</v>
      </c>
      <c r="C203">
        <f t="shared" si="13"/>
        <v>-4.2107251773378707E-2</v>
      </c>
      <c r="D203" s="3">
        <f t="shared" si="14"/>
        <v>0.95876694560279396</v>
      </c>
      <c r="E203" s="3">
        <f t="shared" si="15"/>
        <v>0.48947474213566611</v>
      </c>
      <c r="F203" s="4">
        <f t="shared" si="16"/>
        <v>-0.67231516588375095</v>
      </c>
    </row>
    <row r="204" spans="1:6">
      <c r="A204">
        <v>46</v>
      </c>
      <c r="B204">
        <v>1</v>
      </c>
      <c r="C204">
        <f t="shared" si="13"/>
        <v>1.2225057820555838</v>
      </c>
      <c r="D204" s="3">
        <f t="shared" si="14"/>
        <v>3.3956859307314069</v>
      </c>
      <c r="E204" s="3">
        <f t="shared" si="15"/>
        <v>0.77250421987414186</v>
      </c>
      <c r="F204" s="4">
        <f t="shared" si="16"/>
        <v>-0.25811780760490821</v>
      </c>
    </row>
    <row r="205" spans="1:6">
      <c r="A205">
        <v>40</v>
      </c>
      <c r="B205">
        <v>1</v>
      </c>
      <c r="C205">
        <f t="shared" si="13"/>
        <v>1.8061733361304895</v>
      </c>
      <c r="D205" s="3">
        <f t="shared" si="14"/>
        <v>6.0871094855326735</v>
      </c>
      <c r="E205" s="3">
        <f t="shared" si="15"/>
        <v>0.8588987510294066</v>
      </c>
      <c r="F205" s="4">
        <f t="shared" si="16"/>
        <v>-0.15210423236236398</v>
      </c>
    </row>
    <row r="206" spans="1:6">
      <c r="A206">
        <v>28</v>
      </c>
      <c r="B206">
        <v>1</v>
      </c>
      <c r="C206">
        <f t="shared" si="13"/>
        <v>2.9735084442803008</v>
      </c>
      <c r="D206" s="3">
        <f t="shared" si="14"/>
        <v>19.560426015055413</v>
      </c>
      <c r="E206" s="3">
        <f t="shared" si="15"/>
        <v>0.95136287549354537</v>
      </c>
      <c r="F206" s="4">
        <f t="shared" si="16"/>
        <v>-4.9859716668620373E-2</v>
      </c>
    </row>
    <row r="207" spans="1:6">
      <c r="A207">
        <v>28</v>
      </c>
      <c r="B207">
        <v>1</v>
      </c>
      <c r="C207">
        <f t="shared" si="13"/>
        <v>2.9735084442803008</v>
      </c>
      <c r="D207" s="3">
        <f t="shared" si="14"/>
        <v>19.560426015055413</v>
      </c>
      <c r="E207" s="3">
        <f t="shared" si="15"/>
        <v>0.95136287549354537</v>
      </c>
      <c r="F207" s="4">
        <f t="shared" si="16"/>
        <v>-4.9859716668620373E-2</v>
      </c>
    </row>
    <row r="208" spans="1:6">
      <c r="A208">
        <v>27</v>
      </c>
      <c r="B208">
        <v>1</v>
      </c>
      <c r="C208">
        <f t="shared" si="13"/>
        <v>3.070786369959452</v>
      </c>
      <c r="D208" s="3">
        <f t="shared" si="14"/>
        <v>21.558849242397955</v>
      </c>
      <c r="E208" s="3">
        <f t="shared" si="15"/>
        <v>0.95567149772336069</v>
      </c>
      <c r="F208" s="4">
        <f t="shared" si="16"/>
        <v>-4.5341046610459235E-2</v>
      </c>
    </row>
    <row r="209" spans="1:6">
      <c r="A209">
        <v>26</v>
      </c>
      <c r="B209">
        <v>1</v>
      </c>
      <c r="C209">
        <f t="shared" si="13"/>
        <v>3.1680642956386027</v>
      </c>
      <c r="D209" s="3">
        <f t="shared" si="14"/>
        <v>23.761444679103832</v>
      </c>
      <c r="E209" s="3">
        <f t="shared" si="15"/>
        <v>0.95961463424450755</v>
      </c>
      <c r="F209" s="4">
        <f t="shared" si="16"/>
        <v>-4.1223497773871472E-2</v>
      </c>
    </row>
    <row r="210" spans="1:6">
      <c r="A210">
        <v>22</v>
      </c>
      <c r="B210">
        <v>1</v>
      </c>
      <c r="C210">
        <f t="shared" si="13"/>
        <v>3.5571759983552065</v>
      </c>
      <c r="D210" s="3">
        <f t="shared" si="14"/>
        <v>35.064036299628512</v>
      </c>
      <c r="E210" s="3">
        <f t="shared" si="15"/>
        <v>0.97227154521219517</v>
      </c>
      <c r="F210" s="4">
        <f t="shared" si="16"/>
        <v>-2.81201460352739E-2</v>
      </c>
    </row>
    <row r="211" spans="1:6">
      <c r="A211">
        <v>53</v>
      </c>
      <c r="B211">
        <v>1</v>
      </c>
      <c r="C211">
        <f t="shared" si="13"/>
        <v>0.54156030230152652</v>
      </c>
      <c r="D211" s="3">
        <f t="shared" si="14"/>
        <v>1.7186864415746761</v>
      </c>
      <c r="E211" s="3">
        <f t="shared" si="15"/>
        <v>0.63217530910964659</v>
      </c>
      <c r="F211" s="4">
        <f t="shared" si="16"/>
        <v>-0.45858853546845196</v>
      </c>
    </row>
    <row r="212" spans="1:6">
      <c r="A212">
        <v>52</v>
      </c>
      <c r="B212">
        <v>1</v>
      </c>
      <c r="C212">
        <f t="shared" si="13"/>
        <v>0.63883822798067769</v>
      </c>
      <c r="D212" s="3">
        <f t="shared" si="14"/>
        <v>1.8942788802423163</v>
      </c>
      <c r="E212" s="3">
        <f t="shared" si="15"/>
        <v>0.65449079325891446</v>
      </c>
      <c r="F212" s="4">
        <f t="shared" si="16"/>
        <v>-0.42389776056242073</v>
      </c>
    </row>
    <row r="213" spans="1:6">
      <c r="A213">
        <v>51</v>
      </c>
      <c r="B213">
        <v>1</v>
      </c>
      <c r="C213">
        <f t="shared" si="13"/>
        <v>0.73611615365982885</v>
      </c>
      <c r="D213" s="3">
        <f t="shared" si="14"/>
        <v>2.0878110103925982</v>
      </c>
      <c r="E213" s="3">
        <f t="shared" si="15"/>
        <v>0.67614598282268079</v>
      </c>
      <c r="F213" s="4">
        <f t="shared" si="16"/>
        <v>-0.39134627533209132</v>
      </c>
    </row>
    <row r="214" spans="1:6">
      <c r="A214">
        <v>51</v>
      </c>
      <c r="B214">
        <v>1</v>
      </c>
      <c r="C214">
        <f t="shared" si="13"/>
        <v>0.73611615365982885</v>
      </c>
      <c r="D214" s="3">
        <f t="shared" si="14"/>
        <v>2.0878110103925982</v>
      </c>
      <c r="E214" s="3">
        <f t="shared" si="15"/>
        <v>0.67614598282268079</v>
      </c>
      <c r="F214" s="4">
        <f t="shared" si="16"/>
        <v>-0.39134627533209132</v>
      </c>
    </row>
    <row r="215" spans="1:6">
      <c r="A215">
        <v>45</v>
      </c>
      <c r="B215">
        <v>1</v>
      </c>
      <c r="C215">
        <f t="shared" si="13"/>
        <v>1.319783707734735</v>
      </c>
      <c r="D215" s="3">
        <f t="shared" si="14"/>
        <v>3.7426117917280339</v>
      </c>
      <c r="E215" s="3">
        <f t="shared" si="15"/>
        <v>0.78914571887494989</v>
      </c>
      <c r="F215" s="4">
        <f t="shared" si="16"/>
        <v>-0.23680428713456608</v>
      </c>
    </row>
    <row r="216" spans="1:6">
      <c r="A216">
        <v>43</v>
      </c>
      <c r="B216">
        <v>1</v>
      </c>
      <c r="C216">
        <f t="shared" si="13"/>
        <v>1.5143395590930364</v>
      </c>
      <c r="D216" s="3">
        <f t="shared" si="14"/>
        <v>4.5464174950003198</v>
      </c>
      <c r="E216" s="3">
        <f t="shared" si="15"/>
        <v>0.81970343903944753</v>
      </c>
      <c r="F216" s="4">
        <f t="shared" si="16"/>
        <v>-0.19881266384647364</v>
      </c>
    </row>
    <row r="217" spans="1:6">
      <c r="A217">
        <v>43</v>
      </c>
      <c r="B217">
        <v>1</v>
      </c>
      <c r="C217">
        <f t="shared" si="13"/>
        <v>1.5143395590930364</v>
      </c>
      <c r="D217" s="3">
        <f t="shared" si="14"/>
        <v>4.5464174950003198</v>
      </c>
      <c r="E217" s="3">
        <f t="shared" si="15"/>
        <v>0.81970343903944753</v>
      </c>
      <c r="F217" s="4">
        <f t="shared" si="16"/>
        <v>-0.19881266384647364</v>
      </c>
    </row>
    <row r="218" spans="1:6">
      <c r="A218">
        <v>43</v>
      </c>
      <c r="B218">
        <v>1</v>
      </c>
      <c r="C218">
        <f t="shared" si="13"/>
        <v>1.5143395590930364</v>
      </c>
      <c r="D218" s="3">
        <f t="shared" si="14"/>
        <v>4.5464174950003198</v>
      </c>
      <c r="E218" s="3">
        <f t="shared" si="15"/>
        <v>0.81970343903944753</v>
      </c>
      <c r="F218" s="4">
        <f t="shared" si="16"/>
        <v>-0.19881266384647364</v>
      </c>
    </row>
    <row r="219" spans="1:6">
      <c r="A219">
        <v>42</v>
      </c>
      <c r="B219">
        <v>1</v>
      </c>
      <c r="C219">
        <f t="shared" si="13"/>
        <v>1.6116174847721876</v>
      </c>
      <c r="D219" s="3">
        <f t="shared" si="14"/>
        <v>5.010909746662529</v>
      </c>
      <c r="E219" s="3">
        <f t="shared" si="15"/>
        <v>0.83363583182142509</v>
      </c>
      <c r="F219" s="4">
        <f t="shared" si="16"/>
        <v>-0.18195862447614647</v>
      </c>
    </row>
    <row r="220" spans="1:6">
      <c r="A220">
        <v>39</v>
      </c>
      <c r="B220">
        <v>0</v>
      </c>
      <c r="C220">
        <f t="shared" si="13"/>
        <v>1.9034512618096402</v>
      </c>
      <c r="D220" s="3">
        <f t="shared" si="14"/>
        <v>6.7090090788187604</v>
      </c>
      <c r="E220" s="3">
        <f t="shared" si="15"/>
        <v>0.87028164193662771</v>
      </c>
      <c r="F220" s="4">
        <f t="shared" si="16"/>
        <v>-2.0423896551672818</v>
      </c>
    </row>
    <row r="221" spans="1:6">
      <c r="A221">
        <v>37</v>
      </c>
      <c r="B221">
        <v>1</v>
      </c>
      <c r="C221">
        <f t="shared" si="13"/>
        <v>2.0980071131679421</v>
      </c>
      <c r="D221" s="3">
        <f t="shared" si="14"/>
        <v>8.1499118656851888</v>
      </c>
      <c r="E221" s="3">
        <f t="shared" si="15"/>
        <v>0.89070932980783246</v>
      </c>
      <c r="F221" s="4">
        <f t="shared" si="16"/>
        <v>-0.11573713390754511</v>
      </c>
    </row>
    <row r="222" spans="1:6">
      <c r="A222">
        <v>36</v>
      </c>
      <c r="B222">
        <v>1</v>
      </c>
      <c r="C222">
        <f t="shared" si="13"/>
        <v>2.1952850388470933</v>
      </c>
      <c r="D222" s="3">
        <f t="shared" si="14"/>
        <v>8.9825610708018857</v>
      </c>
      <c r="E222" s="3">
        <f t="shared" si="15"/>
        <v>0.8998253060604946</v>
      </c>
      <c r="F222" s="4">
        <f t="shared" si="16"/>
        <v>-0.10555463887574723</v>
      </c>
    </row>
    <row r="223" spans="1:6">
      <c r="A223">
        <v>35</v>
      </c>
      <c r="B223">
        <v>1</v>
      </c>
      <c r="C223">
        <f t="shared" si="13"/>
        <v>2.292562964526244</v>
      </c>
      <c r="D223" s="3">
        <f t="shared" si="14"/>
        <v>9.9002792570569653</v>
      </c>
      <c r="E223" s="3">
        <f t="shared" si="15"/>
        <v>0.90825923112450646</v>
      </c>
      <c r="F223" s="4">
        <f t="shared" si="16"/>
        <v>-9.6225444294152598E-2</v>
      </c>
    </row>
    <row r="224" spans="1:6">
      <c r="A224">
        <v>34</v>
      </c>
      <c r="B224">
        <v>1</v>
      </c>
      <c r="C224">
        <f t="shared" si="13"/>
        <v>2.3898408902053951</v>
      </c>
      <c r="D224" s="3">
        <f t="shared" si="14"/>
        <v>10.911757637397555</v>
      </c>
      <c r="E224" s="3">
        <f t="shared" si="15"/>
        <v>0.91604933289941615</v>
      </c>
      <c r="F224" s="4">
        <f t="shared" si="16"/>
        <v>-8.7685058881144459E-2</v>
      </c>
    </row>
    <row r="225" spans="1:6">
      <c r="A225">
        <v>34</v>
      </c>
      <c r="B225">
        <v>1</v>
      </c>
      <c r="C225">
        <f t="shared" si="13"/>
        <v>2.3898408902053951</v>
      </c>
      <c r="D225" s="3">
        <f t="shared" si="14"/>
        <v>10.911757637397555</v>
      </c>
      <c r="E225" s="3">
        <f t="shared" si="15"/>
        <v>0.91604933289941615</v>
      </c>
      <c r="F225" s="4">
        <f t="shared" si="16"/>
        <v>-8.7685058881144459E-2</v>
      </c>
    </row>
    <row r="226" spans="1:6">
      <c r="A226">
        <v>34</v>
      </c>
      <c r="B226">
        <v>1</v>
      </c>
      <c r="C226">
        <f t="shared" si="13"/>
        <v>2.3898408902053951</v>
      </c>
      <c r="D226" s="3">
        <f t="shared" si="14"/>
        <v>10.911757637397555</v>
      </c>
      <c r="E226" s="3">
        <f t="shared" si="15"/>
        <v>0.91604933289941615</v>
      </c>
      <c r="F226" s="4">
        <f t="shared" si="16"/>
        <v>-8.7685058881144459E-2</v>
      </c>
    </row>
    <row r="227" spans="1:6">
      <c r="A227">
        <v>32</v>
      </c>
      <c r="B227">
        <v>1</v>
      </c>
      <c r="C227">
        <f t="shared" si="13"/>
        <v>2.584396741563697</v>
      </c>
      <c r="D227" s="3">
        <f t="shared" si="14"/>
        <v>13.255290311839165</v>
      </c>
      <c r="E227" s="3">
        <f t="shared" si="15"/>
        <v>0.92985060436338574</v>
      </c>
      <c r="F227" s="4">
        <f t="shared" si="16"/>
        <v>-7.2731346208375319E-2</v>
      </c>
    </row>
    <row r="228" spans="1:6">
      <c r="A228">
        <v>32</v>
      </c>
      <c r="B228">
        <v>1</v>
      </c>
      <c r="C228">
        <f t="shared" si="13"/>
        <v>2.584396741563697</v>
      </c>
      <c r="D228" s="3">
        <f t="shared" si="14"/>
        <v>13.255290311839165</v>
      </c>
      <c r="E228" s="3">
        <f t="shared" si="15"/>
        <v>0.92985060436338574</v>
      </c>
      <c r="F228" s="4">
        <f t="shared" si="16"/>
        <v>-7.2731346208375319E-2</v>
      </c>
    </row>
    <row r="229" spans="1:6">
      <c r="A229">
        <v>26</v>
      </c>
      <c r="B229">
        <v>1</v>
      </c>
      <c r="C229">
        <f t="shared" si="13"/>
        <v>3.1680642956386027</v>
      </c>
      <c r="D229" s="3">
        <f t="shared" si="14"/>
        <v>23.761444679103832</v>
      </c>
      <c r="E229" s="3">
        <f t="shared" si="15"/>
        <v>0.95961463424450755</v>
      </c>
      <c r="F229" s="4">
        <f t="shared" si="16"/>
        <v>-4.1223497773871472E-2</v>
      </c>
    </row>
    <row r="230" spans="1:6">
      <c r="A230">
        <v>26</v>
      </c>
      <c r="B230">
        <v>1</v>
      </c>
      <c r="C230">
        <f t="shared" si="13"/>
        <v>3.1680642956386027</v>
      </c>
      <c r="D230" s="3">
        <f t="shared" si="14"/>
        <v>23.761444679103832</v>
      </c>
      <c r="E230" s="3">
        <f t="shared" si="15"/>
        <v>0.95961463424450755</v>
      </c>
      <c r="F230" s="4">
        <f t="shared" si="16"/>
        <v>-4.1223497773871472E-2</v>
      </c>
    </row>
    <row r="231" spans="1:6">
      <c r="A231">
        <v>24</v>
      </c>
      <c r="B231">
        <v>1</v>
      </c>
      <c r="C231">
        <f t="shared" si="13"/>
        <v>3.3626201469969046</v>
      </c>
      <c r="D231" s="3">
        <f t="shared" si="14"/>
        <v>28.864721698982507</v>
      </c>
      <c r="E231" s="3">
        <f t="shared" si="15"/>
        <v>0.96651567658726689</v>
      </c>
      <c r="F231" s="4">
        <f t="shared" si="16"/>
        <v>-3.405776050950781E-2</v>
      </c>
    </row>
    <row r="232" spans="1:6">
      <c r="A232">
        <v>20</v>
      </c>
      <c r="B232">
        <v>1</v>
      </c>
      <c r="C232">
        <f t="shared" si="13"/>
        <v>3.7517318497135088</v>
      </c>
      <c r="D232" s="3">
        <f t="shared" si="14"/>
        <v>42.594785927383683</v>
      </c>
      <c r="E232" s="3">
        <f t="shared" si="15"/>
        <v>0.97706147699255341</v>
      </c>
      <c r="F232" s="4">
        <f t="shared" si="16"/>
        <v>-2.3205704668691349E-2</v>
      </c>
    </row>
    <row r="233" spans="1:6">
      <c r="A233">
        <v>50</v>
      </c>
      <c r="B233">
        <v>1</v>
      </c>
      <c r="C233">
        <f t="shared" si="13"/>
        <v>0.83339407933898002</v>
      </c>
      <c r="D233" s="3">
        <f t="shared" si="14"/>
        <v>2.3011156702327611</v>
      </c>
      <c r="E233" s="3">
        <f t="shared" si="15"/>
        <v>0.69707211140241865</v>
      </c>
      <c r="F233" s="4">
        <f t="shared" si="16"/>
        <v>-0.36086641388536594</v>
      </c>
    </row>
    <row r="234" spans="1:6">
      <c r="A234">
        <v>42</v>
      </c>
      <c r="B234">
        <v>1</v>
      </c>
      <c r="C234">
        <f t="shared" si="13"/>
        <v>1.6116174847721876</v>
      </c>
      <c r="D234" s="3">
        <f t="shared" si="14"/>
        <v>5.010909746662529</v>
      </c>
      <c r="E234" s="3">
        <f t="shared" si="15"/>
        <v>0.83363583182142509</v>
      </c>
      <c r="F234" s="4">
        <f t="shared" si="16"/>
        <v>-0.18195862447614647</v>
      </c>
    </row>
    <row r="235" spans="1:6">
      <c r="A235">
        <v>40</v>
      </c>
      <c r="B235">
        <v>1</v>
      </c>
      <c r="C235">
        <f t="shared" si="13"/>
        <v>1.8061733361304895</v>
      </c>
      <c r="D235" s="3">
        <f t="shared" si="14"/>
        <v>6.0871094855326735</v>
      </c>
      <c r="E235" s="3">
        <f t="shared" si="15"/>
        <v>0.8588987510294066</v>
      </c>
      <c r="F235" s="4">
        <f t="shared" si="16"/>
        <v>-0.15210423236236398</v>
      </c>
    </row>
    <row r="236" spans="1:6">
      <c r="A236">
        <v>40</v>
      </c>
      <c r="B236">
        <v>1</v>
      </c>
      <c r="C236">
        <f t="shared" si="13"/>
        <v>1.8061733361304895</v>
      </c>
      <c r="D236" s="3">
        <f t="shared" si="14"/>
        <v>6.0871094855326735</v>
      </c>
      <c r="E236" s="3">
        <f t="shared" si="15"/>
        <v>0.8588987510294066</v>
      </c>
      <c r="F236" s="4">
        <f t="shared" si="16"/>
        <v>-0.15210423236236398</v>
      </c>
    </row>
    <row r="237" spans="1:6">
      <c r="A237">
        <v>40</v>
      </c>
      <c r="B237">
        <v>1</v>
      </c>
      <c r="C237">
        <f t="shared" si="13"/>
        <v>1.8061733361304895</v>
      </c>
      <c r="D237" s="3">
        <f t="shared" si="14"/>
        <v>6.0871094855326735</v>
      </c>
      <c r="E237" s="3">
        <f t="shared" si="15"/>
        <v>0.8588987510294066</v>
      </c>
      <c r="F237" s="4">
        <f t="shared" si="16"/>
        <v>-0.15210423236236398</v>
      </c>
    </row>
    <row r="238" spans="1:6">
      <c r="A238">
        <v>39</v>
      </c>
      <c r="B238">
        <v>1</v>
      </c>
      <c r="C238">
        <f t="shared" si="13"/>
        <v>1.9034512618096402</v>
      </c>
      <c r="D238" s="3">
        <f t="shared" si="14"/>
        <v>6.7090090788187604</v>
      </c>
      <c r="E238" s="3">
        <f t="shared" si="15"/>
        <v>0.87028164193662771</v>
      </c>
      <c r="F238" s="4">
        <f t="shared" si="16"/>
        <v>-0.13893839335764113</v>
      </c>
    </row>
    <row r="239" spans="1:6">
      <c r="A239">
        <v>36</v>
      </c>
      <c r="B239">
        <v>1</v>
      </c>
      <c r="C239">
        <f t="shared" si="13"/>
        <v>2.1952850388470933</v>
      </c>
      <c r="D239" s="3">
        <f t="shared" si="14"/>
        <v>8.9825610708018857</v>
      </c>
      <c r="E239" s="3">
        <f t="shared" si="15"/>
        <v>0.8998253060604946</v>
      </c>
      <c r="F239" s="4">
        <f t="shared" si="16"/>
        <v>-0.10555463887574723</v>
      </c>
    </row>
    <row r="240" spans="1:6">
      <c r="A240">
        <v>33</v>
      </c>
      <c r="B240">
        <v>1</v>
      </c>
      <c r="C240">
        <f t="shared" si="13"/>
        <v>2.4871188158845459</v>
      </c>
      <c r="D240" s="3">
        <f t="shared" si="14"/>
        <v>12.026575376894819</v>
      </c>
      <c r="E240" s="3">
        <f t="shared" si="15"/>
        <v>0.92323385302220751</v>
      </c>
      <c r="F240" s="4">
        <f t="shared" si="16"/>
        <v>-7.9872714682438908E-2</v>
      </c>
    </row>
    <row r="241" spans="1:6">
      <c r="A241">
        <v>31</v>
      </c>
      <c r="B241">
        <v>1</v>
      </c>
      <c r="C241">
        <f t="shared" si="13"/>
        <v>2.6816746672428482</v>
      </c>
      <c r="D241" s="3">
        <f t="shared" si="14"/>
        <v>14.609538937301574</v>
      </c>
      <c r="E241" s="3">
        <f t="shared" si="15"/>
        <v>0.93593660876104834</v>
      </c>
      <c r="F241" s="4">
        <f t="shared" si="16"/>
        <v>-6.6207530480673266E-2</v>
      </c>
    </row>
    <row r="242" spans="1:6">
      <c r="A242">
        <v>31</v>
      </c>
      <c r="B242">
        <v>1</v>
      </c>
      <c r="C242">
        <f t="shared" si="13"/>
        <v>2.6816746672428482</v>
      </c>
      <c r="D242" s="3">
        <f t="shared" si="14"/>
        <v>14.609538937301574</v>
      </c>
      <c r="E242" s="3">
        <f t="shared" si="15"/>
        <v>0.93593660876104834</v>
      </c>
      <c r="F242" s="4">
        <f t="shared" si="16"/>
        <v>-6.6207530480673266E-2</v>
      </c>
    </row>
    <row r="243" spans="1:6">
      <c r="A243">
        <v>26</v>
      </c>
      <c r="B243">
        <v>1</v>
      </c>
      <c r="C243">
        <f t="shared" si="13"/>
        <v>3.1680642956386027</v>
      </c>
      <c r="D243" s="3">
        <f t="shared" si="14"/>
        <v>23.761444679103832</v>
      </c>
      <c r="E243" s="3">
        <f t="shared" si="15"/>
        <v>0.95961463424450755</v>
      </c>
      <c r="F243" s="4">
        <f t="shared" si="16"/>
        <v>-4.1223497773871472E-2</v>
      </c>
    </row>
    <row r="244" spans="1:6">
      <c r="A244">
        <v>62</v>
      </c>
      <c r="B244">
        <v>0</v>
      </c>
      <c r="C244">
        <f t="shared" si="13"/>
        <v>-0.33394102881083132</v>
      </c>
      <c r="D244" s="3">
        <f t="shared" si="14"/>
        <v>0.71609601001535439</v>
      </c>
      <c r="E244" s="3">
        <f t="shared" si="15"/>
        <v>0.41728202025768202</v>
      </c>
      <c r="F244" s="4">
        <f t="shared" si="16"/>
        <v>-0.54005194939303136</v>
      </c>
    </row>
    <row r="245" spans="1:6">
      <c r="A245">
        <v>58</v>
      </c>
      <c r="B245">
        <v>0</v>
      </c>
      <c r="C245">
        <f t="shared" si="13"/>
        <v>5.517067390577246E-2</v>
      </c>
      <c r="D245" s="3">
        <f t="shared" si="14"/>
        <v>1.0567209539779769</v>
      </c>
      <c r="E245" s="3">
        <f t="shared" si="15"/>
        <v>0.51378917102688892</v>
      </c>
      <c r="F245" s="4">
        <f t="shared" si="16"/>
        <v>-0.72111294467617781</v>
      </c>
    </row>
    <row r="246" spans="1:6">
      <c r="A246">
        <v>57</v>
      </c>
      <c r="B246">
        <v>1</v>
      </c>
      <c r="C246">
        <f t="shared" si="13"/>
        <v>0.15244859958492274</v>
      </c>
      <c r="D246" s="3">
        <f t="shared" si="14"/>
        <v>1.1646825953872044</v>
      </c>
      <c r="E246" s="3">
        <f t="shared" si="15"/>
        <v>0.53803850867977876</v>
      </c>
      <c r="F246" s="4">
        <f t="shared" si="16"/>
        <v>-0.61982514391018995</v>
      </c>
    </row>
    <row r="247" spans="1:6">
      <c r="A247">
        <v>55</v>
      </c>
      <c r="B247">
        <v>1</v>
      </c>
      <c r="C247">
        <f t="shared" si="13"/>
        <v>0.34700445094322507</v>
      </c>
      <c r="D247" s="3">
        <f t="shared" si="14"/>
        <v>1.4148230226533616</v>
      </c>
      <c r="E247" s="3">
        <f t="shared" si="15"/>
        <v>0.58589097808864721</v>
      </c>
      <c r="F247" s="4">
        <f t="shared" si="16"/>
        <v>-0.5346215509308222</v>
      </c>
    </row>
    <row r="248" spans="1:6">
      <c r="A248">
        <v>50</v>
      </c>
      <c r="B248">
        <v>1</v>
      </c>
      <c r="C248">
        <f t="shared" si="13"/>
        <v>0.83339407933898002</v>
      </c>
      <c r="D248" s="3">
        <f t="shared" si="14"/>
        <v>2.3011156702327611</v>
      </c>
      <c r="E248" s="3">
        <f t="shared" si="15"/>
        <v>0.69707211140241865</v>
      </c>
      <c r="F248" s="4">
        <f t="shared" si="16"/>
        <v>-0.36086641388536594</v>
      </c>
    </row>
    <row r="249" spans="1:6">
      <c r="A249">
        <v>48</v>
      </c>
      <c r="B249">
        <v>1</v>
      </c>
      <c r="C249">
        <f t="shared" si="13"/>
        <v>1.0279499306972815</v>
      </c>
      <c r="D249" s="3">
        <f t="shared" si="14"/>
        <v>2.7953293377337407</v>
      </c>
      <c r="E249" s="3">
        <f t="shared" si="15"/>
        <v>0.73651825414520733</v>
      </c>
      <c r="F249" s="4">
        <f t="shared" si="16"/>
        <v>-0.30582125839649665</v>
      </c>
    </row>
    <row r="250" spans="1:6">
      <c r="A250">
        <v>48</v>
      </c>
      <c r="B250">
        <v>1</v>
      </c>
      <c r="C250">
        <f t="shared" si="13"/>
        <v>1.0279499306972815</v>
      </c>
      <c r="D250" s="3">
        <f t="shared" si="14"/>
        <v>2.7953293377337407</v>
      </c>
      <c r="E250" s="3">
        <f t="shared" si="15"/>
        <v>0.73651825414520733</v>
      </c>
      <c r="F250" s="4">
        <f t="shared" si="16"/>
        <v>-0.30582125839649665</v>
      </c>
    </row>
    <row r="251" spans="1:6">
      <c r="A251">
        <v>47</v>
      </c>
      <c r="B251">
        <v>1</v>
      </c>
      <c r="C251">
        <f t="shared" si="13"/>
        <v>1.1252278563764326</v>
      </c>
      <c r="D251" s="3">
        <f t="shared" si="14"/>
        <v>3.0809187759340886</v>
      </c>
      <c r="E251" s="3">
        <f t="shared" si="15"/>
        <v>0.75495714202958897</v>
      </c>
      <c r="F251" s="4">
        <f t="shared" si="16"/>
        <v>-0.28109429686805887</v>
      </c>
    </row>
    <row r="252" spans="1:6">
      <c r="A252">
        <v>47</v>
      </c>
      <c r="B252">
        <v>1</v>
      </c>
      <c r="C252">
        <f t="shared" si="13"/>
        <v>1.1252278563764326</v>
      </c>
      <c r="D252" s="3">
        <f t="shared" si="14"/>
        <v>3.0809187759340886</v>
      </c>
      <c r="E252" s="3">
        <f t="shared" si="15"/>
        <v>0.75495714202958897</v>
      </c>
      <c r="F252" s="4">
        <f t="shared" si="16"/>
        <v>-0.28109429686805887</v>
      </c>
    </row>
    <row r="253" spans="1:6">
      <c r="A253">
        <v>46</v>
      </c>
      <c r="B253">
        <v>0</v>
      </c>
      <c r="C253">
        <f t="shared" si="13"/>
        <v>1.2225057820555838</v>
      </c>
      <c r="D253" s="3">
        <f t="shared" si="14"/>
        <v>3.3956859307314069</v>
      </c>
      <c r="E253" s="3">
        <f t="shared" si="15"/>
        <v>0.77250421987414186</v>
      </c>
      <c r="F253" s="4">
        <f t="shared" si="16"/>
        <v>-1.4806235896604918</v>
      </c>
    </row>
    <row r="254" spans="1:6">
      <c r="A254">
        <v>44</v>
      </c>
      <c r="B254">
        <v>1</v>
      </c>
      <c r="C254">
        <f t="shared" si="13"/>
        <v>1.4170616334138852</v>
      </c>
      <c r="D254" s="3">
        <f t="shared" si="14"/>
        <v>4.1249819062520521</v>
      </c>
      <c r="E254" s="3">
        <f t="shared" si="15"/>
        <v>0.80487735990246456</v>
      </c>
      <c r="F254" s="4">
        <f t="shared" si="16"/>
        <v>-0.21706536111694999</v>
      </c>
    </row>
    <row r="255" spans="1:6">
      <c r="A255">
        <v>42</v>
      </c>
      <c r="B255">
        <v>1</v>
      </c>
      <c r="C255">
        <f t="shared" si="13"/>
        <v>1.6116174847721876</v>
      </c>
      <c r="D255" s="3">
        <f t="shared" si="14"/>
        <v>5.010909746662529</v>
      </c>
      <c r="E255" s="3">
        <f t="shared" si="15"/>
        <v>0.83363583182142509</v>
      </c>
      <c r="F255" s="4">
        <f t="shared" si="16"/>
        <v>-0.18195862447614647</v>
      </c>
    </row>
    <row r="256" spans="1:6">
      <c r="A256">
        <v>31</v>
      </c>
      <c r="B256">
        <v>1</v>
      </c>
      <c r="C256">
        <f t="shared" si="13"/>
        <v>2.6816746672428482</v>
      </c>
      <c r="D256" s="3">
        <f t="shared" si="14"/>
        <v>14.609538937301574</v>
      </c>
      <c r="E256" s="3">
        <f t="shared" si="15"/>
        <v>0.93593660876104834</v>
      </c>
      <c r="F256" s="4">
        <f t="shared" si="16"/>
        <v>-6.6207530480673266E-2</v>
      </c>
    </row>
    <row r="257" spans="1:6">
      <c r="A257">
        <v>28</v>
      </c>
      <c r="B257">
        <v>1</v>
      </c>
      <c r="C257">
        <f t="shared" si="13"/>
        <v>2.9735084442803008</v>
      </c>
      <c r="D257" s="3">
        <f t="shared" si="14"/>
        <v>19.560426015055413</v>
      </c>
      <c r="E257" s="3">
        <f t="shared" si="15"/>
        <v>0.95136287549354537</v>
      </c>
      <c r="F257" s="4">
        <f t="shared" si="16"/>
        <v>-4.9859716668620373E-2</v>
      </c>
    </row>
    <row r="258" spans="1:6">
      <c r="A258">
        <v>27</v>
      </c>
      <c r="B258">
        <v>1</v>
      </c>
      <c r="C258">
        <f t="shared" si="13"/>
        <v>3.070786369959452</v>
      </c>
      <c r="D258" s="3">
        <f t="shared" si="14"/>
        <v>21.558849242397955</v>
      </c>
      <c r="E258" s="3">
        <f t="shared" si="15"/>
        <v>0.95567149772336069</v>
      </c>
      <c r="F258" s="4">
        <f t="shared" si="16"/>
        <v>-4.5341046610459235E-2</v>
      </c>
    </row>
    <row r="259" spans="1:6">
      <c r="A259">
        <v>25</v>
      </c>
      <c r="B259">
        <v>1</v>
      </c>
      <c r="C259">
        <f t="shared" ref="C259:C322" si="17">A259*$J$4+$J$3</f>
        <v>3.2653422213177539</v>
      </c>
      <c r="D259" s="3">
        <f t="shared" ref="D259:D322" si="18">EXP(C259)</f>
        <v>26.189071916127556</v>
      </c>
      <c r="E259" s="3">
        <f t="shared" ref="E259:E322" si="19">D259/(1+D259)</f>
        <v>0.96322051730618885</v>
      </c>
      <c r="F259" s="4">
        <f t="shared" ref="F259:F322" si="20">B259*LN(E259)+(1-B259)*LN(1-E259)</f>
        <v>-3.7472903464467466E-2</v>
      </c>
    </row>
    <row r="260" spans="1:6">
      <c r="A260">
        <v>25</v>
      </c>
      <c r="B260">
        <v>1</v>
      </c>
      <c r="C260">
        <f t="shared" si="17"/>
        <v>3.2653422213177539</v>
      </c>
      <c r="D260" s="3">
        <f t="shared" si="18"/>
        <v>26.189071916127556</v>
      </c>
      <c r="E260" s="3">
        <f t="shared" si="19"/>
        <v>0.96322051730618885</v>
      </c>
      <c r="F260" s="4">
        <f t="shared" si="20"/>
        <v>-3.7472903464467466E-2</v>
      </c>
    </row>
    <row r="261" spans="1:6">
      <c r="A261">
        <v>22</v>
      </c>
      <c r="B261">
        <v>1</v>
      </c>
      <c r="C261">
        <f t="shared" si="17"/>
        <v>3.5571759983552065</v>
      </c>
      <c r="D261" s="3">
        <f t="shared" si="18"/>
        <v>35.064036299628512</v>
      </c>
      <c r="E261" s="3">
        <f t="shared" si="19"/>
        <v>0.97227154521219517</v>
      </c>
      <c r="F261" s="4">
        <f t="shared" si="20"/>
        <v>-2.81201460352739E-2</v>
      </c>
    </row>
    <row r="262" spans="1:6">
      <c r="A262">
        <v>21</v>
      </c>
      <c r="B262">
        <v>1</v>
      </c>
      <c r="C262">
        <f t="shared" si="17"/>
        <v>3.6544539240343576</v>
      </c>
      <c r="D262" s="3">
        <f t="shared" si="18"/>
        <v>38.64641147548744</v>
      </c>
      <c r="E262" s="3">
        <f t="shared" si="19"/>
        <v>0.97477703623647549</v>
      </c>
      <c r="F262" s="4">
        <f t="shared" si="20"/>
        <v>-2.5546514918829179E-2</v>
      </c>
    </row>
    <row r="263" spans="1:6">
      <c r="A263">
        <v>42</v>
      </c>
      <c r="B263">
        <v>1</v>
      </c>
      <c r="C263">
        <f t="shared" si="17"/>
        <v>1.6116174847721876</v>
      </c>
      <c r="D263" s="3">
        <f t="shared" si="18"/>
        <v>5.010909746662529</v>
      </c>
      <c r="E263" s="3">
        <f t="shared" si="19"/>
        <v>0.83363583182142509</v>
      </c>
      <c r="F263" s="4">
        <f t="shared" si="20"/>
        <v>-0.18195862447614647</v>
      </c>
    </row>
    <row r="264" spans="1:6">
      <c r="A264">
        <v>33</v>
      </c>
      <c r="B264">
        <v>1</v>
      </c>
      <c r="C264">
        <f t="shared" si="17"/>
        <v>2.4871188158845459</v>
      </c>
      <c r="D264" s="3">
        <f t="shared" si="18"/>
        <v>12.026575376894819</v>
      </c>
      <c r="E264" s="3">
        <f t="shared" si="19"/>
        <v>0.92323385302220751</v>
      </c>
      <c r="F264" s="4">
        <f t="shared" si="20"/>
        <v>-7.9872714682438908E-2</v>
      </c>
    </row>
    <row r="265" spans="1:6">
      <c r="A265">
        <v>54</v>
      </c>
      <c r="B265">
        <v>0</v>
      </c>
      <c r="C265">
        <f t="shared" si="17"/>
        <v>0.44428237662237624</v>
      </c>
      <c r="D265" s="3">
        <f t="shared" si="18"/>
        <v>1.5593707533046897</v>
      </c>
      <c r="E265" s="3">
        <f t="shared" si="19"/>
        <v>0.60927896096773471</v>
      </c>
      <c r="F265" s="4">
        <f t="shared" si="20"/>
        <v>-0.93976142878746982</v>
      </c>
    </row>
    <row r="266" spans="1:6">
      <c r="A266">
        <v>54</v>
      </c>
      <c r="B266">
        <v>0</v>
      </c>
      <c r="C266">
        <f t="shared" si="17"/>
        <v>0.44428237662237624</v>
      </c>
      <c r="D266" s="3">
        <f t="shared" si="18"/>
        <v>1.5593707533046897</v>
      </c>
      <c r="E266" s="3">
        <f t="shared" si="19"/>
        <v>0.60927896096773471</v>
      </c>
      <c r="F266" s="4">
        <f t="shared" si="20"/>
        <v>-0.93976142878746982</v>
      </c>
    </row>
    <row r="267" spans="1:6">
      <c r="A267">
        <v>52</v>
      </c>
      <c r="B267">
        <v>0</v>
      </c>
      <c r="C267">
        <f t="shared" si="17"/>
        <v>0.63883822798067769</v>
      </c>
      <c r="D267" s="3">
        <f t="shared" si="18"/>
        <v>1.8942788802423163</v>
      </c>
      <c r="E267" s="3">
        <f t="shared" si="19"/>
        <v>0.65449079325891446</v>
      </c>
      <c r="F267" s="4">
        <f t="shared" si="20"/>
        <v>-1.0627359885430985</v>
      </c>
    </row>
    <row r="268" spans="1:6">
      <c r="A268">
        <v>47</v>
      </c>
      <c r="B268">
        <v>1</v>
      </c>
      <c r="C268">
        <f t="shared" si="17"/>
        <v>1.1252278563764326</v>
      </c>
      <c r="D268" s="3">
        <f t="shared" si="18"/>
        <v>3.0809187759340886</v>
      </c>
      <c r="E268" s="3">
        <f t="shared" si="19"/>
        <v>0.75495714202958897</v>
      </c>
      <c r="F268" s="4">
        <f t="shared" si="20"/>
        <v>-0.28109429686805887</v>
      </c>
    </row>
    <row r="269" spans="1:6">
      <c r="A269">
        <v>45</v>
      </c>
      <c r="B269">
        <v>1</v>
      </c>
      <c r="C269">
        <f t="shared" si="17"/>
        <v>1.319783707734735</v>
      </c>
      <c r="D269" s="3">
        <f t="shared" si="18"/>
        <v>3.7426117917280339</v>
      </c>
      <c r="E269" s="3">
        <f t="shared" si="19"/>
        <v>0.78914571887494989</v>
      </c>
      <c r="F269" s="4">
        <f t="shared" si="20"/>
        <v>-0.23680428713456608</v>
      </c>
    </row>
    <row r="270" spans="1:6">
      <c r="A270">
        <v>43</v>
      </c>
      <c r="B270">
        <v>1</v>
      </c>
      <c r="C270">
        <f t="shared" si="17"/>
        <v>1.5143395590930364</v>
      </c>
      <c r="D270" s="3">
        <f t="shared" si="18"/>
        <v>4.5464174950003198</v>
      </c>
      <c r="E270" s="3">
        <f t="shared" si="19"/>
        <v>0.81970343903944753</v>
      </c>
      <c r="F270" s="4">
        <f t="shared" si="20"/>
        <v>-0.19881266384647364</v>
      </c>
    </row>
    <row r="271" spans="1:6">
      <c r="A271">
        <v>42</v>
      </c>
      <c r="B271">
        <v>1</v>
      </c>
      <c r="C271">
        <f t="shared" si="17"/>
        <v>1.6116174847721876</v>
      </c>
      <c r="D271" s="3">
        <f t="shared" si="18"/>
        <v>5.010909746662529</v>
      </c>
      <c r="E271" s="3">
        <f t="shared" si="19"/>
        <v>0.83363583182142509</v>
      </c>
      <c r="F271" s="4">
        <f t="shared" si="20"/>
        <v>-0.18195862447614647</v>
      </c>
    </row>
    <row r="272" spans="1:6">
      <c r="A272">
        <v>41</v>
      </c>
      <c r="B272">
        <v>1</v>
      </c>
      <c r="C272">
        <f t="shared" si="17"/>
        <v>1.7088954104513383</v>
      </c>
      <c r="D272" s="3">
        <f t="shared" si="18"/>
        <v>5.5228576163121925</v>
      </c>
      <c r="E272" s="3">
        <f t="shared" si="19"/>
        <v>0.84669295900324026</v>
      </c>
      <c r="F272" s="4">
        <f t="shared" si="20"/>
        <v>-0.16641715417899317</v>
      </c>
    </row>
    <row r="273" spans="1:6">
      <c r="A273">
        <v>39</v>
      </c>
      <c r="B273">
        <v>0</v>
      </c>
      <c r="C273">
        <f t="shared" si="17"/>
        <v>1.9034512618096402</v>
      </c>
      <c r="D273" s="3">
        <f t="shared" si="18"/>
        <v>6.7090090788187604</v>
      </c>
      <c r="E273" s="3">
        <f t="shared" si="19"/>
        <v>0.87028164193662771</v>
      </c>
      <c r="F273" s="4">
        <f t="shared" si="20"/>
        <v>-2.0423896551672818</v>
      </c>
    </row>
    <row r="274" spans="1:6">
      <c r="A274">
        <v>38</v>
      </c>
      <c r="B274">
        <v>1</v>
      </c>
      <c r="C274">
        <f t="shared" si="17"/>
        <v>2.0007291874887914</v>
      </c>
      <c r="D274" s="3">
        <f t="shared" si="18"/>
        <v>7.3944460711032773</v>
      </c>
      <c r="E274" s="3">
        <f t="shared" si="19"/>
        <v>0.88087361673066633</v>
      </c>
      <c r="F274" s="4">
        <f t="shared" si="20"/>
        <v>-0.12684111767174036</v>
      </c>
    </row>
    <row r="275" spans="1:6">
      <c r="A275">
        <v>30</v>
      </c>
      <c r="B275">
        <v>1</v>
      </c>
      <c r="C275">
        <f t="shared" si="17"/>
        <v>2.7789525929219989</v>
      </c>
      <c r="D275" s="3">
        <f t="shared" si="18"/>
        <v>16.102146610089314</v>
      </c>
      <c r="E275" s="3">
        <f t="shared" si="19"/>
        <v>0.94152780801153602</v>
      </c>
      <c r="F275" s="4">
        <f t="shared" si="20"/>
        <v>-6.0251395461799473E-2</v>
      </c>
    </row>
    <row r="276" spans="1:6">
      <c r="A276">
        <v>29</v>
      </c>
      <c r="B276">
        <v>1</v>
      </c>
      <c r="C276">
        <f t="shared" si="17"/>
        <v>2.8762305186011501</v>
      </c>
      <c r="D276" s="3">
        <f t="shared" si="18"/>
        <v>17.747249010768609</v>
      </c>
      <c r="E276" s="3">
        <f t="shared" si="19"/>
        <v>0.94665884048237747</v>
      </c>
      <c r="F276" s="4">
        <f t="shared" si="20"/>
        <v>-5.481650362524778E-2</v>
      </c>
    </row>
    <row r="277" spans="1:6">
      <c r="A277">
        <v>25</v>
      </c>
      <c r="B277">
        <v>1</v>
      </c>
      <c r="C277">
        <f t="shared" si="17"/>
        <v>3.2653422213177539</v>
      </c>
      <c r="D277" s="3">
        <f t="shared" si="18"/>
        <v>26.189071916127556</v>
      </c>
      <c r="E277" s="3">
        <f t="shared" si="19"/>
        <v>0.96322051730618885</v>
      </c>
      <c r="F277" s="4">
        <f t="shared" si="20"/>
        <v>-3.7472903464467466E-2</v>
      </c>
    </row>
    <row r="278" spans="1:6">
      <c r="A278">
        <v>23</v>
      </c>
      <c r="B278">
        <v>1</v>
      </c>
      <c r="C278">
        <f t="shared" si="17"/>
        <v>3.4598980726760558</v>
      </c>
      <c r="D278" s="3">
        <f t="shared" si="18"/>
        <v>31.813733660666077</v>
      </c>
      <c r="E278" s="3">
        <f t="shared" si="19"/>
        <v>0.96952495530252014</v>
      </c>
      <c r="F278" s="4">
        <f t="shared" si="20"/>
        <v>-3.0949064246469118E-2</v>
      </c>
    </row>
    <row r="279" spans="1:6">
      <c r="A279">
        <v>22</v>
      </c>
      <c r="B279">
        <v>1</v>
      </c>
      <c r="C279">
        <f t="shared" si="17"/>
        <v>3.5571759983552065</v>
      </c>
      <c r="D279" s="3">
        <f t="shared" si="18"/>
        <v>35.064036299628512</v>
      </c>
      <c r="E279" s="3">
        <f t="shared" si="19"/>
        <v>0.97227154521219517</v>
      </c>
      <c r="F279" s="4">
        <f t="shared" si="20"/>
        <v>-2.81201460352739E-2</v>
      </c>
    </row>
    <row r="280" spans="1:6">
      <c r="A280">
        <v>61</v>
      </c>
      <c r="B280">
        <v>1</v>
      </c>
      <c r="C280">
        <f t="shared" si="17"/>
        <v>-0.23666310313168104</v>
      </c>
      <c r="D280" s="3">
        <f t="shared" si="18"/>
        <v>0.78925714149176074</v>
      </c>
      <c r="E280" s="3">
        <f t="shared" si="19"/>
        <v>0.44110883963482855</v>
      </c>
      <c r="F280" s="4">
        <f t="shared" si="20"/>
        <v>-0.8184636320928329</v>
      </c>
    </row>
    <row r="281" spans="1:6">
      <c r="A281">
        <v>53</v>
      </c>
      <c r="B281">
        <v>1</v>
      </c>
      <c r="C281">
        <f t="shared" si="17"/>
        <v>0.54156030230152652</v>
      </c>
      <c r="D281" s="3">
        <f t="shared" si="18"/>
        <v>1.7186864415746761</v>
      </c>
      <c r="E281" s="3">
        <f t="shared" si="19"/>
        <v>0.63217530910964659</v>
      </c>
      <c r="F281" s="4">
        <f t="shared" si="20"/>
        <v>-0.45858853546845196</v>
      </c>
    </row>
    <row r="282" spans="1:6">
      <c r="A282">
        <v>52</v>
      </c>
      <c r="B282">
        <v>0</v>
      </c>
      <c r="C282">
        <f t="shared" si="17"/>
        <v>0.63883822798067769</v>
      </c>
      <c r="D282" s="3">
        <f t="shared" si="18"/>
        <v>1.8942788802423163</v>
      </c>
      <c r="E282" s="3">
        <f t="shared" si="19"/>
        <v>0.65449079325891446</v>
      </c>
      <c r="F282" s="4">
        <f t="shared" si="20"/>
        <v>-1.0627359885430985</v>
      </c>
    </row>
    <row r="283" spans="1:6">
      <c r="A283">
        <v>51</v>
      </c>
      <c r="B283">
        <v>1</v>
      </c>
      <c r="C283">
        <f t="shared" si="17"/>
        <v>0.73611615365982885</v>
      </c>
      <c r="D283" s="3">
        <f t="shared" si="18"/>
        <v>2.0878110103925982</v>
      </c>
      <c r="E283" s="3">
        <f t="shared" si="19"/>
        <v>0.67614598282268079</v>
      </c>
      <c r="F283" s="4">
        <f t="shared" si="20"/>
        <v>-0.39134627533209132</v>
      </c>
    </row>
    <row r="284" spans="1:6">
      <c r="A284">
        <v>50</v>
      </c>
      <c r="B284">
        <v>1</v>
      </c>
      <c r="C284">
        <f t="shared" si="17"/>
        <v>0.83339407933898002</v>
      </c>
      <c r="D284" s="3">
        <f t="shared" si="18"/>
        <v>2.3011156702327611</v>
      </c>
      <c r="E284" s="3">
        <f t="shared" si="19"/>
        <v>0.69707211140241865</v>
      </c>
      <c r="F284" s="4">
        <f t="shared" si="20"/>
        <v>-0.36086641388536594</v>
      </c>
    </row>
    <row r="285" spans="1:6">
      <c r="A285">
        <v>50</v>
      </c>
      <c r="B285">
        <v>1</v>
      </c>
      <c r="C285">
        <f t="shared" si="17"/>
        <v>0.83339407933898002</v>
      </c>
      <c r="D285" s="3">
        <f t="shared" si="18"/>
        <v>2.3011156702327611</v>
      </c>
      <c r="E285" s="3">
        <f t="shared" si="19"/>
        <v>0.69707211140241865</v>
      </c>
      <c r="F285" s="4">
        <f t="shared" si="20"/>
        <v>-0.36086641388536594</v>
      </c>
    </row>
    <row r="286" spans="1:6">
      <c r="A286">
        <v>48</v>
      </c>
      <c r="B286">
        <v>1</v>
      </c>
      <c r="C286">
        <f t="shared" si="17"/>
        <v>1.0279499306972815</v>
      </c>
      <c r="D286" s="3">
        <f t="shared" si="18"/>
        <v>2.7953293377337407</v>
      </c>
      <c r="E286" s="3">
        <f t="shared" si="19"/>
        <v>0.73651825414520733</v>
      </c>
      <c r="F286" s="4">
        <f t="shared" si="20"/>
        <v>-0.30582125839649665</v>
      </c>
    </row>
    <row r="287" spans="1:6">
      <c r="A287">
        <v>47</v>
      </c>
      <c r="B287">
        <v>1</v>
      </c>
      <c r="C287">
        <f t="shared" si="17"/>
        <v>1.1252278563764326</v>
      </c>
      <c r="D287" s="3">
        <f t="shared" si="18"/>
        <v>3.0809187759340886</v>
      </c>
      <c r="E287" s="3">
        <f t="shared" si="19"/>
        <v>0.75495714202958897</v>
      </c>
      <c r="F287" s="4">
        <f t="shared" si="20"/>
        <v>-0.28109429686805887</v>
      </c>
    </row>
    <row r="288" spans="1:6">
      <c r="A288">
        <v>46</v>
      </c>
      <c r="B288">
        <v>1</v>
      </c>
      <c r="C288">
        <f t="shared" si="17"/>
        <v>1.2225057820555838</v>
      </c>
      <c r="D288" s="3">
        <f t="shared" si="18"/>
        <v>3.3956859307314069</v>
      </c>
      <c r="E288" s="3">
        <f t="shared" si="19"/>
        <v>0.77250421987414186</v>
      </c>
      <c r="F288" s="4">
        <f t="shared" si="20"/>
        <v>-0.25811780760490821</v>
      </c>
    </row>
    <row r="289" spans="1:6">
      <c r="A289">
        <v>45</v>
      </c>
      <c r="B289">
        <v>0</v>
      </c>
      <c r="C289">
        <f t="shared" si="17"/>
        <v>1.319783707734735</v>
      </c>
      <c r="D289" s="3">
        <f t="shared" si="18"/>
        <v>3.7426117917280339</v>
      </c>
      <c r="E289" s="3">
        <f t="shared" si="19"/>
        <v>0.78914571887494989</v>
      </c>
      <c r="F289" s="4">
        <f t="shared" si="20"/>
        <v>-1.5565879948693004</v>
      </c>
    </row>
    <row r="290" spans="1:6">
      <c r="A290">
        <v>45</v>
      </c>
      <c r="B290">
        <v>1</v>
      </c>
      <c r="C290">
        <f t="shared" si="17"/>
        <v>1.319783707734735</v>
      </c>
      <c r="D290" s="3">
        <f t="shared" si="18"/>
        <v>3.7426117917280339</v>
      </c>
      <c r="E290" s="3">
        <f t="shared" si="19"/>
        <v>0.78914571887494989</v>
      </c>
      <c r="F290" s="4">
        <f t="shared" si="20"/>
        <v>-0.23680428713456608</v>
      </c>
    </row>
    <row r="291" spans="1:6">
      <c r="A291">
        <v>42</v>
      </c>
      <c r="B291">
        <v>1</v>
      </c>
      <c r="C291">
        <f t="shared" si="17"/>
        <v>1.6116174847721876</v>
      </c>
      <c r="D291" s="3">
        <f t="shared" si="18"/>
        <v>5.010909746662529</v>
      </c>
      <c r="E291" s="3">
        <f t="shared" si="19"/>
        <v>0.83363583182142509</v>
      </c>
      <c r="F291" s="4">
        <f t="shared" si="20"/>
        <v>-0.18195862447614647</v>
      </c>
    </row>
    <row r="292" spans="1:6">
      <c r="A292">
        <v>42</v>
      </c>
      <c r="B292">
        <v>1</v>
      </c>
      <c r="C292">
        <f t="shared" si="17"/>
        <v>1.6116174847721876</v>
      </c>
      <c r="D292" s="3">
        <f t="shared" si="18"/>
        <v>5.010909746662529</v>
      </c>
      <c r="E292" s="3">
        <f t="shared" si="19"/>
        <v>0.83363583182142509</v>
      </c>
      <c r="F292" s="4">
        <f t="shared" si="20"/>
        <v>-0.18195862447614647</v>
      </c>
    </row>
    <row r="293" spans="1:6">
      <c r="A293">
        <v>40</v>
      </c>
      <c r="B293">
        <v>1</v>
      </c>
      <c r="C293">
        <f t="shared" si="17"/>
        <v>1.8061733361304895</v>
      </c>
      <c r="D293" s="3">
        <f t="shared" si="18"/>
        <v>6.0871094855326735</v>
      </c>
      <c r="E293" s="3">
        <f t="shared" si="19"/>
        <v>0.8588987510294066</v>
      </c>
      <c r="F293" s="4">
        <f t="shared" si="20"/>
        <v>-0.15210423236236398</v>
      </c>
    </row>
    <row r="294" spans="1:6">
      <c r="A294">
        <v>40</v>
      </c>
      <c r="B294">
        <v>1</v>
      </c>
      <c r="C294">
        <f t="shared" si="17"/>
        <v>1.8061733361304895</v>
      </c>
      <c r="D294" s="3">
        <f t="shared" si="18"/>
        <v>6.0871094855326735</v>
      </c>
      <c r="E294" s="3">
        <f t="shared" si="19"/>
        <v>0.8588987510294066</v>
      </c>
      <c r="F294" s="4">
        <f t="shared" si="20"/>
        <v>-0.15210423236236398</v>
      </c>
    </row>
    <row r="295" spans="1:6">
      <c r="A295">
        <v>40</v>
      </c>
      <c r="B295">
        <v>1</v>
      </c>
      <c r="C295">
        <f t="shared" si="17"/>
        <v>1.8061733361304895</v>
      </c>
      <c r="D295" s="3">
        <f t="shared" si="18"/>
        <v>6.0871094855326735</v>
      </c>
      <c r="E295" s="3">
        <f t="shared" si="19"/>
        <v>0.8588987510294066</v>
      </c>
      <c r="F295" s="4">
        <f t="shared" si="20"/>
        <v>-0.15210423236236398</v>
      </c>
    </row>
    <row r="296" spans="1:6">
      <c r="A296">
        <v>36</v>
      </c>
      <c r="B296">
        <v>1</v>
      </c>
      <c r="C296">
        <f t="shared" si="17"/>
        <v>2.1952850388470933</v>
      </c>
      <c r="D296" s="3">
        <f t="shared" si="18"/>
        <v>8.9825610708018857</v>
      </c>
      <c r="E296" s="3">
        <f t="shared" si="19"/>
        <v>0.8998253060604946</v>
      </c>
      <c r="F296" s="4">
        <f t="shared" si="20"/>
        <v>-0.10555463887574723</v>
      </c>
    </row>
    <row r="297" spans="1:6">
      <c r="A297">
        <v>34</v>
      </c>
      <c r="B297">
        <v>1</v>
      </c>
      <c r="C297">
        <f t="shared" si="17"/>
        <v>2.3898408902053951</v>
      </c>
      <c r="D297" s="3">
        <f t="shared" si="18"/>
        <v>10.911757637397555</v>
      </c>
      <c r="E297" s="3">
        <f t="shared" si="19"/>
        <v>0.91604933289941615</v>
      </c>
      <c r="F297" s="4">
        <f t="shared" si="20"/>
        <v>-8.7685058881144459E-2</v>
      </c>
    </row>
    <row r="298" spans="1:6">
      <c r="A298">
        <v>30</v>
      </c>
      <c r="B298">
        <v>0</v>
      </c>
      <c r="C298">
        <f t="shared" si="17"/>
        <v>2.7789525929219989</v>
      </c>
      <c r="D298" s="3">
        <f t="shared" si="18"/>
        <v>16.102146610089314</v>
      </c>
      <c r="E298" s="3">
        <f t="shared" si="19"/>
        <v>0.94152780801153602</v>
      </c>
      <c r="F298" s="4">
        <f t="shared" si="20"/>
        <v>-2.8392039883837974</v>
      </c>
    </row>
    <row r="299" spans="1:6">
      <c r="A299">
        <v>28</v>
      </c>
      <c r="B299">
        <v>1</v>
      </c>
      <c r="C299">
        <f t="shared" si="17"/>
        <v>2.9735084442803008</v>
      </c>
      <c r="D299" s="3">
        <f t="shared" si="18"/>
        <v>19.560426015055413</v>
      </c>
      <c r="E299" s="3">
        <f t="shared" si="19"/>
        <v>0.95136287549354537</v>
      </c>
      <c r="F299" s="4">
        <f t="shared" si="20"/>
        <v>-4.9859716668620373E-2</v>
      </c>
    </row>
    <row r="300" spans="1:6">
      <c r="A300">
        <v>53</v>
      </c>
      <c r="B300">
        <v>1</v>
      </c>
      <c r="C300">
        <f t="shared" si="17"/>
        <v>0.54156030230152652</v>
      </c>
      <c r="D300" s="3">
        <f t="shared" si="18"/>
        <v>1.7186864415746761</v>
      </c>
      <c r="E300" s="3">
        <f t="shared" si="19"/>
        <v>0.63217530910964659</v>
      </c>
      <c r="F300" s="4">
        <f t="shared" si="20"/>
        <v>-0.45858853546845196</v>
      </c>
    </row>
    <row r="301" spans="1:6">
      <c r="A301">
        <v>49</v>
      </c>
      <c r="B301">
        <v>1</v>
      </c>
      <c r="C301">
        <f t="shared" si="17"/>
        <v>0.9306720050181303</v>
      </c>
      <c r="D301" s="3">
        <f t="shared" si="18"/>
        <v>2.5362129529123676</v>
      </c>
      <c r="E301" s="3">
        <f t="shared" si="19"/>
        <v>0.7172116008521443</v>
      </c>
      <c r="F301" s="4">
        <f t="shared" si="20"/>
        <v>-0.33238436218378298</v>
      </c>
    </row>
    <row r="302" spans="1:6">
      <c r="A302">
        <v>46</v>
      </c>
      <c r="B302">
        <v>0</v>
      </c>
      <c r="C302">
        <f t="shared" si="17"/>
        <v>1.2225057820555838</v>
      </c>
      <c r="D302" s="3">
        <f t="shared" si="18"/>
        <v>3.3956859307314069</v>
      </c>
      <c r="E302" s="3">
        <f t="shared" si="19"/>
        <v>0.77250421987414186</v>
      </c>
      <c r="F302" s="4">
        <f t="shared" si="20"/>
        <v>-1.4806235896604918</v>
      </c>
    </row>
    <row r="303" spans="1:6">
      <c r="A303">
        <v>46</v>
      </c>
      <c r="B303">
        <v>1</v>
      </c>
      <c r="C303">
        <f t="shared" si="17"/>
        <v>1.2225057820555838</v>
      </c>
      <c r="D303" s="3">
        <f t="shared" si="18"/>
        <v>3.3956859307314069</v>
      </c>
      <c r="E303" s="3">
        <f t="shared" si="19"/>
        <v>0.77250421987414186</v>
      </c>
      <c r="F303" s="4">
        <f t="shared" si="20"/>
        <v>-0.25811780760490821</v>
      </c>
    </row>
    <row r="304" spans="1:6">
      <c r="A304">
        <v>43</v>
      </c>
      <c r="B304">
        <v>1</v>
      </c>
      <c r="C304">
        <f t="shared" si="17"/>
        <v>1.5143395590930364</v>
      </c>
      <c r="D304" s="3">
        <f t="shared" si="18"/>
        <v>4.5464174950003198</v>
      </c>
      <c r="E304" s="3">
        <f t="shared" si="19"/>
        <v>0.81970343903944753</v>
      </c>
      <c r="F304" s="4">
        <f t="shared" si="20"/>
        <v>-0.19881266384647364</v>
      </c>
    </row>
    <row r="305" spans="1:6">
      <c r="A305">
        <v>42</v>
      </c>
      <c r="B305">
        <v>1</v>
      </c>
      <c r="C305">
        <f t="shared" si="17"/>
        <v>1.6116174847721876</v>
      </c>
      <c r="D305" s="3">
        <f t="shared" si="18"/>
        <v>5.010909746662529</v>
      </c>
      <c r="E305" s="3">
        <f t="shared" si="19"/>
        <v>0.83363583182142509</v>
      </c>
      <c r="F305" s="4">
        <f t="shared" si="20"/>
        <v>-0.18195862447614647</v>
      </c>
    </row>
    <row r="306" spans="1:6">
      <c r="A306">
        <v>41</v>
      </c>
      <c r="B306">
        <v>1</v>
      </c>
      <c r="C306">
        <f t="shared" si="17"/>
        <v>1.7088954104513383</v>
      </c>
      <c r="D306" s="3">
        <f t="shared" si="18"/>
        <v>5.5228576163121925</v>
      </c>
      <c r="E306" s="3">
        <f t="shared" si="19"/>
        <v>0.84669295900324026</v>
      </c>
      <c r="F306" s="4">
        <f t="shared" si="20"/>
        <v>-0.16641715417899317</v>
      </c>
    </row>
    <row r="307" spans="1:6">
      <c r="A307">
        <v>39</v>
      </c>
      <c r="B307">
        <v>1</v>
      </c>
      <c r="C307">
        <f t="shared" si="17"/>
        <v>1.9034512618096402</v>
      </c>
      <c r="D307" s="3">
        <f t="shared" si="18"/>
        <v>6.7090090788187604</v>
      </c>
      <c r="E307" s="3">
        <f t="shared" si="19"/>
        <v>0.87028164193662771</v>
      </c>
      <c r="F307" s="4">
        <f t="shared" si="20"/>
        <v>-0.13893839335764113</v>
      </c>
    </row>
    <row r="308" spans="1:6">
      <c r="A308">
        <v>37</v>
      </c>
      <c r="B308">
        <v>1</v>
      </c>
      <c r="C308">
        <f t="shared" si="17"/>
        <v>2.0980071131679421</v>
      </c>
      <c r="D308" s="3">
        <f t="shared" si="18"/>
        <v>8.1499118656851888</v>
      </c>
      <c r="E308" s="3">
        <f t="shared" si="19"/>
        <v>0.89070932980783246</v>
      </c>
      <c r="F308" s="4">
        <f t="shared" si="20"/>
        <v>-0.11573713390754511</v>
      </c>
    </row>
    <row r="309" spans="1:6">
      <c r="A309">
        <v>35</v>
      </c>
      <c r="B309">
        <v>1</v>
      </c>
      <c r="C309">
        <f t="shared" si="17"/>
        <v>2.292562964526244</v>
      </c>
      <c r="D309" s="3">
        <f t="shared" si="18"/>
        <v>9.9002792570569653</v>
      </c>
      <c r="E309" s="3">
        <f t="shared" si="19"/>
        <v>0.90825923112450646</v>
      </c>
      <c r="F309" s="4">
        <f t="shared" si="20"/>
        <v>-9.6225444294152598E-2</v>
      </c>
    </row>
    <row r="310" spans="1:6">
      <c r="A310">
        <v>35</v>
      </c>
      <c r="B310">
        <v>1</v>
      </c>
      <c r="C310">
        <f t="shared" si="17"/>
        <v>2.292562964526244</v>
      </c>
      <c r="D310" s="3">
        <f t="shared" si="18"/>
        <v>9.9002792570569653</v>
      </c>
      <c r="E310" s="3">
        <f t="shared" si="19"/>
        <v>0.90825923112450646</v>
      </c>
      <c r="F310" s="4">
        <f t="shared" si="20"/>
        <v>-9.6225444294152598E-2</v>
      </c>
    </row>
    <row r="311" spans="1:6">
      <c r="A311">
        <v>33</v>
      </c>
      <c r="B311">
        <v>1</v>
      </c>
      <c r="C311">
        <f t="shared" si="17"/>
        <v>2.4871188158845459</v>
      </c>
      <c r="D311" s="3">
        <f t="shared" si="18"/>
        <v>12.026575376894819</v>
      </c>
      <c r="E311" s="3">
        <f t="shared" si="19"/>
        <v>0.92323385302220751</v>
      </c>
      <c r="F311" s="4">
        <f t="shared" si="20"/>
        <v>-7.9872714682438908E-2</v>
      </c>
    </row>
    <row r="312" spans="1:6">
      <c r="A312">
        <v>32</v>
      </c>
      <c r="B312">
        <v>1</v>
      </c>
      <c r="C312">
        <f t="shared" si="17"/>
        <v>2.584396741563697</v>
      </c>
      <c r="D312" s="3">
        <f t="shared" si="18"/>
        <v>13.255290311839165</v>
      </c>
      <c r="E312" s="3">
        <f t="shared" si="19"/>
        <v>0.92985060436338574</v>
      </c>
      <c r="F312" s="4">
        <f t="shared" si="20"/>
        <v>-7.2731346208375319E-2</v>
      </c>
    </row>
    <row r="313" spans="1:6">
      <c r="A313">
        <v>26</v>
      </c>
      <c r="B313">
        <v>1</v>
      </c>
      <c r="C313">
        <f t="shared" si="17"/>
        <v>3.1680642956386027</v>
      </c>
      <c r="D313" s="3">
        <f t="shared" si="18"/>
        <v>23.761444679103832</v>
      </c>
      <c r="E313" s="3">
        <f t="shared" si="19"/>
        <v>0.95961463424450755</v>
      </c>
      <c r="F313" s="4">
        <f t="shared" si="20"/>
        <v>-4.1223497773871472E-2</v>
      </c>
    </row>
    <row r="314" spans="1:6">
      <c r="A314">
        <v>56</v>
      </c>
      <c r="B314">
        <v>1</v>
      </c>
      <c r="C314">
        <f t="shared" si="17"/>
        <v>0.24972652526407391</v>
      </c>
      <c r="D314" s="3">
        <f t="shared" si="18"/>
        <v>1.283674316186737</v>
      </c>
      <c r="E314" s="3">
        <f t="shared" si="19"/>
        <v>0.56210918828837519</v>
      </c>
      <c r="F314" s="4">
        <f t="shared" si="20"/>
        <v>-0.57605916274874136</v>
      </c>
    </row>
    <row r="315" spans="1:6">
      <c r="A315">
        <v>53</v>
      </c>
      <c r="B315">
        <v>1</v>
      </c>
      <c r="C315">
        <f t="shared" si="17"/>
        <v>0.54156030230152652</v>
      </c>
      <c r="D315" s="3">
        <f t="shared" si="18"/>
        <v>1.7186864415746761</v>
      </c>
      <c r="E315" s="3">
        <f t="shared" si="19"/>
        <v>0.63217530910964659</v>
      </c>
      <c r="F315" s="4">
        <f t="shared" si="20"/>
        <v>-0.45858853546845196</v>
      </c>
    </row>
    <row r="316" spans="1:6">
      <c r="A316">
        <v>50</v>
      </c>
      <c r="B316">
        <v>1</v>
      </c>
      <c r="C316">
        <f t="shared" si="17"/>
        <v>0.83339407933898002</v>
      </c>
      <c r="D316" s="3">
        <f t="shared" si="18"/>
        <v>2.3011156702327611</v>
      </c>
      <c r="E316" s="3">
        <f t="shared" si="19"/>
        <v>0.69707211140241865</v>
      </c>
      <c r="F316" s="4">
        <f t="shared" si="20"/>
        <v>-0.36086641388536594</v>
      </c>
    </row>
    <row r="317" spans="1:6">
      <c r="A317">
        <v>49</v>
      </c>
      <c r="B317">
        <v>1</v>
      </c>
      <c r="C317">
        <f t="shared" si="17"/>
        <v>0.9306720050181303</v>
      </c>
      <c r="D317" s="3">
        <f t="shared" si="18"/>
        <v>2.5362129529123676</v>
      </c>
      <c r="E317" s="3">
        <f t="shared" si="19"/>
        <v>0.7172116008521443</v>
      </c>
      <c r="F317" s="4">
        <f t="shared" si="20"/>
        <v>-0.33238436218378298</v>
      </c>
    </row>
    <row r="318" spans="1:6">
      <c r="A318">
        <v>48</v>
      </c>
      <c r="B318">
        <v>1</v>
      </c>
      <c r="C318">
        <f t="shared" si="17"/>
        <v>1.0279499306972815</v>
      </c>
      <c r="D318" s="3">
        <f t="shared" si="18"/>
        <v>2.7953293377337407</v>
      </c>
      <c r="E318" s="3">
        <f t="shared" si="19"/>
        <v>0.73651825414520733</v>
      </c>
      <c r="F318" s="4">
        <f t="shared" si="20"/>
        <v>-0.30582125839649665</v>
      </c>
    </row>
    <row r="319" spans="1:6">
      <c r="A319">
        <v>44</v>
      </c>
      <c r="B319">
        <v>1</v>
      </c>
      <c r="C319">
        <f t="shared" si="17"/>
        <v>1.4170616334138852</v>
      </c>
      <c r="D319" s="3">
        <f t="shared" si="18"/>
        <v>4.1249819062520521</v>
      </c>
      <c r="E319" s="3">
        <f t="shared" si="19"/>
        <v>0.80487735990246456</v>
      </c>
      <c r="F319" s="4">
        <f t="shared" si="20"/>
        <v>-0.21706536111694999</v>
      </c>
    </row>
    <row r="320" spans="1:6">
      <c r="A320">
        <v>44</v>
      </c>
      <c r="B320">
        <v>1</v>
      </c>
      <c r="C320">
        <f t="shared" si="17"/>
        <v>1.4170616334138852</v>
      </c>
      <c r="D320" s="3">
        <f t="shared" si="18"/>
        <v>4.1249819062520521</v>
      </c>
      <c r="E320" s="3">
        <f t="shared" si="19"/>
        <v>0.80487735990246456</v>
      </c>
      <c r="F320" s="4">
        <f t="shared" si="20"/>
        <v>-0.21706536111694999</v>
      </c>
    </row>
    <row r="321" spans="1:6">
      <c r="A321">
        <v>44</v>
      </c>
      <c r="B321">
        <v>1</v>
      </c>
      <c r="C321">
        <f t="shared" si="17"/>
        <v>1.4170616334138852</v>
      </c>
      <c r="D321" s="3">
        <f t="shared" si="18"/>
        <v>4.1249819062520521</v>
      </c>
      <c r="E321" s="3">
        <f t="shared" si="19"/>
        <v>0.80487735990246456</v>
      </c>
      <c r="F321" s="4">
        <f t="shared" si="20"/>
        <v>-0.21706536111694999</v>
      </c>
    </row>
    <row r="322" spans="1:6">
      <c r="A322">
        <v>43</v>
      </c>
      <c r="B322">
        <v>1</v>
      </c>
      <c r="C322">
        <f t="shared" si="17"/>
        <v>1.5143395590930364</v>
      </c>
      <c r="D322" s="3">
        <f t="shared" si="18"/>
        <v>4.5464174950003198</v>
      </c>
      <c r="E322" s="3">
        <f t="shared" si="19"/>
        <v>0.81970343903944753</v>
      </c>
      <c r="F322" s="4">
        <f t="shared" si="20"/>
        <v>-0.19881266384647364</v>
      </c>
    </row>
    <row r="323" spans="1:6">
      <c r="A323">
        <v>40</v>
      </c>
      <c r="B323">
        <v>1</v>
      </c>
      <c r="C323">
        <f t="shared" ref="C323:C386" si="21">A323*$J$4+$J$3</f>
        <v>1.8061733361304895</v>
      </c>
      <c r="D323" s="3">
        <f t="shared" ref="D323:D386" si="22">EXP(C323)</f>
        <v>6.0871094855326735</v>
      </c>
      <c r="E323" s="3">
        <f t="shared" ref="E323:E386" si="23">D323/(1+D323)</f>
        <v>0.8588987510294066</v>
      </c>
      <c r="F323" s="4">
        <f t="shared" ref="F323:F386" si="24">B323*LN(E323)+(1-B323)*LN(1-E323)</f>
        <v>-0.15210423236236398</v>
      </c>
    </row>
    <row r="324" spans="1:6">
      <c r="A324">
        <v>36</v>
      </c>
      <c r="B324">
        <v>0</v>
      </c>
      <c r="C324">
        <f t="shared" si="21"/>
        <v>2.1952850388470933</v>
      </c>
      <c r="D324" s="3">
        <f t="shared" si="22"/>
        <v>8.9825610708018857</v>
      </c>
      <c r="E324" s="3">
        <f t="shared" si="23"/>
        <v>0.8998253060604946</v>
      </c>
      <c r="F324" s="4">
        <f t="shared" si="24"/>
        <v>-2.3008396777228404</v>
      </c>
    </row>
    <row r="325" spans="1:6">
      <c r="A325">
        <v>35</v>
      </c>
      <c r="B325">
        <v>1</v>
      </c>
      <c r="C325">
        <f t="shared" si="21"/>
        <v>2.292562964526244</v>
      </c>
      <c r="D325" s="3">
        <f t="shared" si="22"/>
        <v>9.9002792570569653</v>
      </c>
      <c r="E325" s="3">
        <f t="shared" si="23"/>
        <v>0.90825923112450646</v>
      </c>
      <c r="F325" s="4">
        <f t="shared" si="24"/>
        <v>-9.6225444294152598E-2</v>
      </c>
    </row>
    <row r="326" spans="1:6">
      <c r="A326">
        <v>35</v>
      </c>
      <c r="B326">
        <v>1</v>
      </c>
      <c r="C326">
        <f t="shared" si="21"/>
        <v>2.292562964526244</v>
      </c>
      <c r="D326" s="3">
        <f t="shared" si="22"/>
        <v>9.9002792570569653</v>
      </c>
      <c r="E326" s="3">
        <f t="shared" si="23"/>
        <v>0.90825923112450646</v>
      </c>
      <c r="F326" s="4">
        <f t="shared" si="24"/>
        <v>-9.6225444294152598E-2</v>
      </c>
    </row>
    <row r="327" spans="1:6">
      <c r="A327">
        <v>34</v>
      </c>
      <c r="B327">
        <v>1</v>
      </c>
      <c r="C327">
        <f t="shared" si="21"/>
        <v>2.3898408902053951</v>
      </c>
      <c r="D327" s="3">
        <f t="shared" si="22"/>
        <v>10.911757637397555</v>
      </c>
      <c r="E327" s="3">
        <f t="shared" si="23"/>
        <v>0.91604933289941615</v>
      </c>
      <c r="F327" s="4">
        <f t="shared" si="24"/>
        <v>-8.7685058881144459E-2</v>
      </c>
    </row>
    <row r="328" spans="1:6">
      <c r="A328">
        <v>33</v>
      </c>
      <c r="B328">
        <v>1</v>
      </c>
      <c r="C328">
        <f t="shared" si="21"/>
        <v>2.4871188158845459</v>
      </c>
      <c r="D328" s="3">
        <f t="shared" si="22"/>
        <v>12.026575376894819</v>
      </c>
      <c r="E328" s="3">
        <f t="shared" si="23"/>
        <v>0.92323385302220751</v>
      </c>
      <c r="F328" s="4">
        <f t="shared" si="24"/>
        <v>-7.9872714682438908E-2</v>
      </c>
    </row>
    <row r="329" spans="1:6">
      <c r="A329">
        <v>33</v>
      </c>
      <c r="B329">
        <v>1</v>
      </c>
      <c r="C329">
        <f t="shared" si="21"/>
        <v>2.4871188158845459</v>
      </c>
      <c r="D329" s="3">
        <f t="shared" si="22"/>
        <v>12.026575376894819</v>
      </c>
      <c r="E329" s="3">
        <f t="shared" si="23"/>
        <v>0.92323385302220751</v>
      </c>
      <c r="F329" s="4">
        <f t="shared" si="24"/>
        <v>-7.9872714682438908E-2</v>
      </c>
    </row>
    <row r="330" spans="1:6">
      <c r="A330">
        <v>32</v>
      </c>
      <c r="B330">
        <v>1</v>
      </c>
      <c r="C330">
        <f t="shared" si="21"/>
        <v>2.584396741563697</v>
      </c>
      <c r="D330" s="3">
        <f t="shared" si="22"/>
        <v>13.255290311839165</v>
      </c>
      <c r="E330" s="3">
        <f t="shared" si="23"/>
        <v>0.92985060436338574</v>
      </c>
      <c r="F330" s="4">
        <f t="shared" si="24"/>
        <v>-7.2731346208375319E-2</v>
      </c>
    </row>
    <row r="331" spans="1:6">
      <c r="A331">
        <v>30</v>
      </c>
      <c r="B331">
        <v>1</v>
      </c>
      <c r="C331">
        <f t="shared" si="21"/>
        <v>2.7789525929219989</v>
      </c>
      <c r="D331" s="3">
        <f t="shared" si="22"/>
        <v>16.102146610089314</v>
      </c>
      <c r="E331" s="3">
        <f t="shared" si="23"/>
        <v>0.94152780801153602</v>
      </c>
      <c r="F331" s="4">
        <f t="shared" si="24"/>
        <v>-6.0251395461799473E-2</v>
      </c>
    </row>
    <row r="332" spans="1:6">
      <c r="A332">
        <v>29</v>
      </c>
      <c r="B332">
        <v>1</v>
      </c>
      <c r="C332">
        <f t="shared" si="21"/>
        <v>2.8762305186011501</v>
      </c>
      <c r="D332" s="3">
        <f t="shared" si="22"/>
        <v>17.747249010768609</v>
      </c>
      <c r="E332" s="3">
        <f t="shared" si="23"/>
        <v>0.94665884048237747</v>
      </c>
      <c r="F332" s="4">
        <f t="shared" si="24"/>
        <v>-5.481650362524778E-2</v>
      </c>
    </row>
    <row r="333" spans="1:6">
      <c r="A333">
        <v>28</v>
      </c>
      <c r="B333">
        <v>1</v>
      </c>
      <c r="C333">
        <f t="shared" si="21"/>
        <v>2.9735084442803008</v>
      </c>
      <c r="D333" s="3">
        <f t="shared" si="22"/>
        <v>19.560426015055413</v>
      </c>
      <c r="E333" s="3">
        <f t="shared" si="23"/>
        <v>0.95136287549354537</v>
      </c>
      <c r="F333" s="4">
        <f t="shared" si="24"/>
        <v>-4.9859716668620373E-2</v>
      </c>
    </row>
    <row r="334" spans="1:6">
      <c r="A334">
        <v>23</v>
      </c>
      <c r="B334">
        <v>1</v>
      </c>
      <c r="C334">
        <f t="shared" si="21"/>
        <v>3.4598980726760558</v>
      </c>
      <c r="D334" s="3">
        <f t="shared" si="22"/>
        <v>31.813733660666077</v>
      </c>
      <c r="E334" s="3">
        <f t="shared" si="23"/>
        <v>0.96952495530252014</v>
      </c>
      <c r="F334" s="4">
        <f t="shared" si="24"/>
        <v>-3.0949064246469118E-2</v>
      </c>
    </row>
    <row r="335" spans="1:6">
      <c r="A335">
        <v>19</v>
      </c>
      <c r="B335">
        <v>1</v>
      </c>
      <c r="C335">
        <f t="shared" si="21"/>
        <v>3.8490097753926595</v>
      </c>
      <c r="D335" s="3">
        <f t="shared" si="22"/>
        <v>46.946552575791479</v>
      </c>
      <c r="E335" s="3">
        <f t="shared" si="23"/>
        <v>0.97914344314079205</v>
      </c>
      <c r="F335" s="4">
        <f t="shared" si="24"/>
        <v>-2.1077127122546516E-2</v>
      </c>
    </row>
    <row r="336" spans="1:6">
      <c r="A336">
        <v>55</v>
      </c>
      <c r="B336">
        <v>0</v>
      </c>
      <c r="C336">
        <f t="shared" si="21"/>
        <v>0.34700445094322507</v>
      </c>
      <c r="D336" s="3">
        <f t="shared" si="22"/>
        <v>1.4148230226533616</v>
      </c>
      <c r="E336" s="3">
        <f t="shared" si="23"/>
        <v>0.58589097808864721</v>
      </c>
      <c r="F336" s="4">
        <f t="shared" si="24"/>
        <v>-0.88162600187404716</v>
      </c>
    </row>
    <row r="337" spans="1:6">
      <c r="A337">
        <v>48</v>
      </c>
      <c r="B337">
        <v>1</v>
      </c>
      <c r="C337">
        <f t="shared" si="21"/>
        <v>1.0279499306972815</v>
      </c>
      <c r="D337" s="3">
        <f t="shared" si="22"/>
        <v>2.7953293377337407</v>
      </c>
      <c r="E337" s="3">
        <f t="shared" si="23"/>
        <v>0.73651825414520733</v>
      </c>
      <c r="F337" s="4">
        <f t="shared" si="24"/>
        <v>-0.30582125839649665</v>
      </c>
    </row>
    <row r="338" spans="1:6">
      <c r="A338">
        <v>48</v>
      </c>
      <c r="B338">
        <v>1</v>
      </c>
      <c r="C338">
        <f t="shared" si="21"/>
        <v>1.0279499306972815</v>
      </c>
      <c r="D338" s="3">
        <f t="shared" si="22"/>
        <v>2.7953293377337407</v>
      </c>
      <c r="E338" s="3">
        <f t="shared" si="23"/>
        <v>0.73651825414520733</v>
      </c>
      <c r="F338" s="4">
        <f t="shared" si="24"/>
        <v>-0.30582125839649665</v>
      </c>
    </row>
    <row r="339" spans="1:6">
      <c r="A339">
        <v>46</v>
      </c>
      <c r="B339">
        <v>1</v>
      </c>
      <c r="C339">
        <f t="shared" si="21"/>
        <v>1.2225057820555838</v>
      </c>
      <c r="D339" s="3">
        <f t="shared" si="22"/>
        <v>3.3956859307314069</v>
      </c>
      <c r="E339" s="3">
        <f t="shared" si="23"/>
        <v>0.77250421987414186</v>
      </c>
      <c r="F339" s="4">
        <f t="shared" si="24"/>
        <v>-0.25811780760490821</v>
      </c>
    </row>
    <row r="340" spans="1:6">
      <c r="A340">
        <v>44</v>
      </c>
      <c r="B340">
        <v>1</v>
      </c>
      <c r="C340">
        <f t="shared" si="21"/>
        <v>1.4170616334138852</v>
      </c>
      <c r="D340" s="3">
        <f t="shared" si="22"/>
        <v>4.1249819062520521</v>
      </c>
      <c r="E340" s="3">
        <f t="shared" si="23"/>
        <v>0.80487735990246456</v>
      </c>
      <c r="F340" s="4">
        <f t="shared" si="24"/>
        <v>-0.21706536111694999</v>
      </c>
    </row>
    <row r="341" spans="1:6">
      <c r="A341">
        <v>39</v>
      </c>
      <c r="B341">
        <v>1</v>
      </c>
      <c r="C341">
        <f t="shared" si="21"/>
        <v>1.9034512618096402</v>
      </c>
      <c r="D341" s="3">
        <f t="shared" si="22"/>
        <v>6.7090090788187604</v>
      </c>
      <c r="E341" s="3">
        <f t="shared" si="23"/>
        <v>0.87028164193662771</v>
      </c>
      <c r="F341" s="4">
        <f t="shared" si="24"/>
        <v>-0.13893839335764113</v>
      </c>
    </row>
    <row r="342" spans="1:6">
      <c r="A342">
        <v>39</v>
      </c>
      <c r="B342">
        <v>1</v>
      </c>
      <c r="C342">
        <f t="shared" si="21"/>
        <v>1.9034512618096402</v>
      </c>
      <c r="D342" s="3">
        <f t="shared" si="22"/>
        <v>6.7090090788187604</v>
      </c>
      <c r="E342" s="3">
        <f t="shared" si="23"/>
        <v>0.87028164193662771</v>
      </c>
      <c r="F342" s="4">
        <f t="shared" si="24"/>
        <v>-0.13893839335764113</v>
      </c>
    </row>
    <row r="343" spans="1:6">
      <c r="A343">
        <v>36</v>
      </c>
      <c r="B343">
        <v>1</v>
      </c>
      <c r="C343">
        <f t="shared" si="21"/>
        <v>2.1952850388470933</v>
      </c>
      <c r="D343" s="3">
        <f t="shared" si="22"/>
        <v>8.9825610708018857</v>
      </c>
      <c r="E343" s="3">
        <f t="shared" si="23"/>
        <v>0.8998253060604946</v>
      </c>
      <c r="F343" s="4">
        <f t="shared" si="24"/>
        <v>-0.10555463887574723</v>
      </c>
    </row>
    <row r="344" spans="1:6">
      <c r="A344">
        <v>36</v>
      </c>
      <c r="B344">
        <v>1</v>
      </c>
      <c r="C344">
        <f t="shared" si="21"/>
        <v>2.1952850388470933</v>
      </c>
      <c r="D344" s="3">
        <f t="shared" si="22"/>
        <v>8.9825610708018857</v>
      </c>
      <c r="E344" s="3">
        <f t="shared" si="23"/>
        <v>0.8998253060604946</v>
      </c>
      <c r="F344" s="4">
        <f t="shared" si="24"/>
        <v>-0.10555463887574723</v>
      </c>
    </row>
    <row r="345" spans="1:6">
      <c r="A345">
        <v>34</v>
      </c>
      <c r="B345">
        <v>1</v>
      </c>
      <c r="C345">
        <f t="shared" si="21"/>
        <v>2.3898408902053951</v>
      </c>
      <c r="D345" s="3">
        <f t="shared" si="22"/>
        <v>10.911757637397555</v>
      </c>
      <c r="E345" s="3">
        <f t="shared" si="23"/>
        <v>0.91604933289941615</v>
      </c>
      <c r="F345" s="4">
        <f t="shared" si="24"/>
        <v>-8.7685058881144459E-2</v>
      </c>
    </row>
    <row r="346" spans="1:6">
      <c r="A346">
        <v>32</v>
      </c>
      <c r="B346">
        <v>1</v>
      </c>
      <c r="C346">
        <f t="shared" si="21"/>
        <v>2.584396741563697</v>
      </c>
      <c r="D346" s="3">
        <f t="shared" si="22"/>
        <v>13.255290311839165</v>
      </c>
      <c r="E346" s="3">
        <f t="shared" si="23"/>
        <v>0.92985060436338574</v>
      </c>
      <c r="F346" s="4">
        <f t="shared" si="24"/>
        <v>-7.2731346208375319E-2</v>
      </c>
    </row>
    <row r="347" spans="1:6">
      <c r="A347">
        <v>32</v>
      </c>
      <c r="B347">
        <v>1</v>
      </c>
      <c r="C347">
        <f t="shared" si="21"/>
        <v>2.584396741563697</v>
      </c>
      <c r="D347" s="3">
        <f t="shared" si="22"/>
        <v>13.255290311839165</v>
      </c>
      <c r="E347" s="3">
        <f t="shared" si="23"/>
        <v>0.92985060436338574</v>
      </c>
      <c r="F347" s="4">
        <f t="shared" si="24"/>
        <v>-7.2731346208375319E-2</v>
      </c>
    </row>
    <row r="348" spans="1:6">
      <c r="A348">
        <v>28</v>
      </c>
      <c r="B348">
        <v>1</v>
      </c>
      <c r="C348">
        <f t="shared" si="21"/>
        <v>2.9735084442803008</v>
      </c>
      <c r="D348" s="3">
        <f t="shared" si="22"/>
        <v>19.560426015055413</v>
      </c>
      <c r="E348" s="3">
        <f t="shared" si="23"/>
        <v>0.95136287549354537</v>
      </c>
      <c r="F348" s="4">
        <f t="shared" si="24"/>
        <v>-4.9859716668620373E-2</v>
      </c>
    </row>
    <row r="349" spans="1:6">
      <c r="A349">
        <v>28</v>
      </c>
      <c r="B349">
        <v>1</v>
      </c>
      <c r="C349">
        <f t="shared" si="21"/>
        <v>2.9735084442803008</v>
      </c>
      <c r="D349" s="3">
        <f t="shared" si="22"/>
        <v>19.560426015055413</v>
      </c>
      <c r="E349" s="3">
        <f t="shared" si="23"/>
        <v>0.95136287549354537</v>
      </c>
      <c r="F349" s="4">
        <f t="shared" si="24"/>
        <v>-4.9859716668620373E-2</v>
      </c>
    </row>
    <row r="350" spans="1:6">
      <c r="A350">
        <v>21</v>
      </c>
      <c r="B350">
        <v>1</v>
      </c>
      <c r="C350">
        <f t="shared" si="21"/>
        <v>3.6544539240343576</v>
      </c>
      <c r="D350" s="3">
        <f t="shared" si="22"/>
        <v>38.64641147548744</v>
      </c>
      <c r="E350" s="3">
        <f t="shared" si="23"/>
        <v>0.97477703623647549</v>
      </c>
      <c r="F350" s="4">
        <f t="shared" si="24"/>
        <v>-2.5546514918829179E-2</v>
      </c>
    </row>
    <row r="351" spans="1:6">
      <c r="A351">
        <v>20</v>
      </c>
      <c r="B351">
        <v>1</v>
      </c>
      <c r="C351">
        <f t="shared" si="21"/>
        <v>3.7517318497135088</v>
      </c>
      <c r="D351" s="3">
        <f t="shared" si="22"/>
        <v>42.594785927383683</v>
      </c>
      <c r="E351" s="3">
        <f t="shared" si="23"/>
        <v>0.97706147699255341</v>
      </c>
      <c r="F351" s="4">
        <f t="shared" si="24"/>
        <v>-2.3205704668691349E-2</v>
      </c>
    </row>
    <row r="352" spans="1:6">
      <c r="A352">
        <v>20</v>
      </c>
      <c r="B352">
        <v>1</v>
      </c>
      <c r="C352">
        <f t="shared" si="21"/>
        <v>3.7517318497135088</v>
      </c>
      <c r="D352" s="3">
        <f t="shared" si="22"/>
        <v>42.594785927383683</v>
      </c>
      <c r="E352" s="3">
        <f t="shared" si="23"/>
        <v>0.97706147699255341</v>
      </c>
      <c r="F352" s="4">
        <f t="shared" si="24"/>
        <v>-2.3205704668691349E-2</v>
      </c>
    </row>
    <row r="353" spans="1:6">
      <c r="A353">
        <v>20</v>
      </c>
      <c r="B353">
        <v>1</v>
      </c>
      <c r="C353">
        <f t="shared" si="21"/>
        <v>3.7517318497135088</v>
      </c>
      <c r="D353" s="3">
        <f t="shared" si="22"/>
        <v>42.594785927383683</v>
      </c>
      <c r="E353" s="3">
        <f t="shared" si="23"/>
        <v>0.97706147699255341</v>
      </c>
      <c r="F353" s="4">
        <f t="shared" si="24"/>
        <v>-2.3205704668691349E-2</v>
      </c>
    </row>
    <row r="354" spans="1:6">
      <c r="A354">
        <v>53</v>
      </c>
      <c r="B354">
        <v>0</v>
      </c>
      <c r="C354">
        <f t="shared" si="21"/>
        <v>0.54156030230152652</v>
      </c>
      <c r="D354" s="3">
        <f t="shared" si="22"/>
        <v>1.7186864415746761</v>
      </c>
      <c r="E354" s="3">
        <f t="shared" si="23"/>
        <v>0.63217530910964659</v>
      </c>
      <c r="F354" s="4">
        <f t="shared" si="24"/>
        <v>-1.0001488377699783</v>
      </c>
    </row>
    <row r="355" spans="1:6">
      <c r="A355">
        <v>52</v>
      </c>
      <c r="B355">
        <v>1</v>
      </c>
      <c r="C355">
        <f t="shared" si="21"/>
        <v>0.63883822798067769</v>
      </c>
      <c r="D355" s="3">
        <f t="shared" si="22"/>
        <v>1.8942788802423163</v>
      </c>
      <c r="E355" s="3">
        <f t="shared" si="23"/>
        <v>0.65449079325891446</v>
      </c>
      <c r="F355" s="4">
        <f t="shared" si="24"/>
        <v>-0.42389776056242073</v>
      </c>
    </row>
    <row r="356" spans="1:6">
      <c r="A356">
        <v>52</v>
      </c>
      <c r="B356">
        <v>1</v>
      </c>
      <c r="C356">
        <f t="shared" si="21"/>
        <v>0.63883822798067769</v>
      </c>
      <c r="D356" s="3">
        <f t="shared" si="22"/>
        <v>1.8942788802423163</v>
      </c>
      <c r="E356" s="3">
        <f t="shared" si="23"/>
        <v>0.65449079325891446</v>
      </c>
      <c r="F356" s="4">
        <f t="shared" si="24"/>
        <v>-0.42389776056242073</v>
      </c>
    </row>
    <row r="357" spans="1:6">
      <c r="A357">
        <v>45</v>
      </c>
      <c r="B357">
        <v>0</v>
      </c>
      <c r="C357">
        <f t="shared" si="21"/>
        <v>1.319783707734735</v>
      </c>
      <c r="D357" s="3">
        <f t="shared" si="22"/>
        <v>3.7426117917280339</v>
      </c>
      <c r="E357" s="3">
        <f t="shared" si="23"/>
        <v>0.78914571887494989</v>
      </c>
      <c r="F357" s="4">
        <f t="shared" si="24"/>
        <v>-1.5565879948693004</v>
      </c>
    </row>
    <row r="358" spans="1:6">
      <c r="A358">
        <v>44</v>
      </c>
      <c r="B358">
        <v>1</v>
      </c>
      <c r="C358">
        <f t="shared" si="21"/>
        <v>1.4170616334138852</v>
      </c>
      <c r="D358" s="3">
        <f t="shared" si="22"/>
        <v>4.1249819062520521</v>
      </c>
      <c r="E358" s="3">
        <f t="shared" si="23"/>
        <v>0.80487735990246456</v>
      </c>
      <c r="F358" s="4">
        <f t="shared" si="24"/>
        <v>-0.21706536111694999</v>
      </c>
    </row>
    <row r="359" spans="1:6">
      <c r="A359">
        <v>43</v>
      </c>
      <c r="B359">
        <v>1</v>
      </c>
      <c r="C359">
        <f t="shared" si="21"/>
        <v>1.5143395590930364</v>
      </c>
      <c r="D359" s="3">
        <f t="shared" si="22"/>
        <v>4.5464174950003198</v>
      </c>
      <c r="E359" s="3">
        <f t="shared" si="23"/>
        <v>0.81970343903944753</v>
      </c>
      <c r="F359" s="4">
        <f t="shared" si="24"/>
        <v>-0.19881266384647364</v>
      </c>
    </row>
    <row r="360" spans="1:6">
      <c r="A360">
        <v>38</v>
      </c>
      <c r="B360">
        <v>1</v>
      </c>
      <c r="C360">
        <f t="shared" si="21"/>
        <v>2.0007291874887914</v>
      </c>
      <c r="D360" s="3">
        <f t="shared" si="22"/>
        <v>7.3944460711032773</v>
      </c>
      <c r="E360" s="3">
        <f t="shared" si="23"/>
        <v>0.88087361673066633</v>
      </c>
      <c r="F360" s="4">
        <f t="shared" si="24"/>
        <v>-0.12684111767174036</v>
      </c>
    </row>
    <row r="361" spans="1:6">
      <c r="A361">
        <v>32</v>
      </c>
      <c r="B361">
        <v>1</v>
      </c>
      <c r="C361">
        <f t="shared" si="21"/>
        <v>2.584396741563697</v>
      </c>
      <c r="D361" s="3">
        <f t="shared" si="22"/>
        <v>13.255290311839165</v>
      </c>
      <c r="E361" s="3">
        <f t="shared" si="23"/>
        <v>0.92985060436338574</v>
      </c>
      <c r="F361" s="4">
        <f t="shared" si="24"/>
        <v>-7.2731346208375319E-2</v>
      </c>
    </row>
    <row r="362" spans="1:6">
      <c r="A362">
        <v>29</v>
      </c>
      <c r="B362">
        <v>1</v>
      </c>
      <c r="C362">
        <f t="shared" si="21"/>
        <v>2.8762305186011501</v>
      </c>
      <c r="D362" s="3">
        <f t="shared" si="22"/>
        <v>17.747249010768609</v>
      </c>
      <c r="E362" s="3">
        <f t="shared" si="23"/>
        <v>0.94665884048237747</v>
      </c>
      <c r="F362" s="4">
        <f t="shared" si="24"/>
        <v>-5.481650362524778E-2</v>
      </c>
    </row>
    <row r="363" spans="1:6">
      <c r="A363">
        <v>26</v>
      </c>
      <c r="B363">
        <v>1</v>
      </c>
      <c r="C363">
        <f t="shared" si="21"/>
        <v>3.1680642956386027</v>
      </c>
      <c r="D363" s="3">
        <f t="shared" si="22"/>
        <v>23.761444679103832</v>
      </c>
      <c r="E363" s="3">
        <f t="shared" si="23"/>
        <v>0.95961463424450755</v>
      </c>
      <c r="F363" s="4">
        <f t="shared" si="24"/>
        <v>-4.1223497773871472E-2</v>
      </c>
    </row>
    <row r="364" spans="1:6">
      <c r="A364">
        <v>22</v>
      </c>
      <c r="B364">
        <v>1</v>
      </c>
      <c r="C364">
        <f t="shared" si="21"/>
        <v>3.5571759983552065</v>
      </c>
      <c r="D364" s="3">
        <f t="shared" si="22"/>
        <v>35.064036299628512</v>
      </c>
      <c r="E364" s="3">
        <f t="shared" si="23"/>
        <v>0.97227154521219517</v>
      </c>
      <c r="F364" s="4">
        <f t="shared" si="24"/>
        <v>-2.81201460352739E-2</v>
      </c>
    </row>
    <row r="365" spans="1:6">
      <c r="A365">
        <v>20</v>
      </c>
      <c r="B365">
        <v>1</v>
      </c>
      <c r="C365">
        <f t="shared" si="21"/>
        <v>3.7517318497135088</v>
      </c>
      <c r="D365" s="3">
        <f t="shared" si="22"/>
        <v>42.594785927383683</v>
      </c>
      <c r="E365" s="3">
        <f t="shared" si="23"/>
        <v>0.97706147699255341</v>
      </c>
      <c r="F365" s="4">
        <f t="shared" si="24"/>
        <v>-2.3205704668691349E-2</v>
      </c>
    </row>
    <row r="366" spans="1:6">
      <c r="A366">
        <v>52</v>
      </c>
      <c r="B366">
        <v>0</v>
      </c>
      <c r="C366">
        <f t="shared" si="21"/>
        <v>0.63883822798067769</v>
      </c>
      <c r="D366" s="3">
        <f t="shared" si="22"/>
        <v>1.8942788802423163</v>
      </c>
      <c r="E366" s="3">
        <f t="shared" si="23"/>
        <v>0.65449079325891446</v>
      </c>
      <c r="F366" s="4">
        <f t="shared" si="24"/>
        <v>-1.0627359885430985</v>
      </c>
    </row>
    <row r="367" spans="1:6">
      <c r="A367">
        <v>51</v>
      </c>
      <c r="B367">
        <v>0</v>
      </c>
      <c r="C367">
        <f t="shared" si="21"/>
        <v>0.73611615365982885</v>
      </c>
      <c r="D367" s="3">
        <f t="shared" si="22"/>
        <v>2.0878110103925982</v>
      </c>
      <c r="E367" s="3">
        <f t="shared" si="23"/>
        <v>0.67614598282268079</v>
      </c>
      <c r="F367" s="4">
        <f t="shared" si="24"/>
        <v>-1.1274624289919202</v>
      </c>
    </row>
    <row r="368" spans="1:6">
      <c r="A368">
        <v>48</v>
      </c>
      <c r="B368">
        <v>1</v>
      </c>
      <c r="C368">
        <f t="shared" si="21"/>
        <v>1.0279499306972815</v>
      </c>
      <c r="D368" s="3">
        <f t="shared" si="22"/>
        <v>2.7953293377337407</v>
      </c>
      <c r="E368" s="3">
        <f t="shared" si="23"/>
        <v>0.73651825414520733</v>
      </c>
      <c r="F368" s="4">
        <f t="shared" si="24"/>
        <v>-0.30582125839649665</v>
      </c>
    </row>
    <row r="369" spans="1:6">
      <c r="A369">
        <v>41</v>
      </c>
      <c r="B369">
        <v>1</v>
      </c>
      <c r="C369">
        <f t="shared" si="21"/>
        <v>1.7088954104513383</v>
      </c>
      <c r="D369" s="3">
        <f t="shared" si="22"/>
        <v>5.5228576163121925</v>
      </c>
      <c r="E369" s="3">
        <f t="shared" si="23"/>
        <v>0.84669295900324026</v>
      </c>
      <c r="F369" s="4">
        <f t="shared" si="24"/>
        <v>-0.16641715417899317</v>
      </c>
    </row>
    <row r="370" spans="1:6">
      <c r="A370">
        <v>40</v>
      </c>
      <c r="B370">
        <v>1</v>
      </c>
      <c r="C370">
        <f t="shared" si="21"/>
        <v>1.8061733361304895</v>
      </c>
      <c r="D370" s="3">
        <f t="shared" si="22"/>
        <v>6.0871094855326735</v>
      </c>
      <c r="E370" s="3">
        <f t="shared" si="23"/>
        <v>0.8588987510294066</v>
      </c>
      <c r="F370" s="4">
        <f t="shared" si="24"/>
        <v>-0.15210423236236398</v>
      </c>
    </row>
    <row r="371" spans="1:6">
      <c r="A371">
        <v>33</v>
      </c>
      <c r="B371">
        <v>1</v>
      </c>
      <c r="C371">
        <f t="shared" si="21"/>
        <v>2.4871188158845459</v>
      </c>
      <c r="D371" s="3">
        <f t="shared" si="22"/>
        <v>12.026575376894819</v>
      </c>
      <c r="E371" s="3">
        <f t="shared" si="23"/>
        <v>0.92323385302220751</v>
      </c>
      <c r="F371" s="4">
        <f t="shared" si="24"/>
        <v>-7.9872714682438908E-2</v>
      </c>
    </row>
    <row r="372" spans="1:6">
      <c r="A372">
        <v>28</v>
      </c>
      <c r="B372">
        <v>1</v>
      </c>
      <c r="C372">
        <f t="shared" si="21"/>
        <v>2.9735084442803008</v>
      </c>
      <c r="D372" s="3">
        <f t="shared" si="22"/>
        <v>19.560426015055413</v>
      </c>
      <c r="E372" s="3">
        <f t="shared" si="23"/>
        <v>0.95136287549354537</v>
      </c>
      <c r="F372" s="4">
        <f t="shared" si="24"/>
        <v>-4.9859716668620373E-2</v>
      </c>
    </row>
    <row r="373" spans="1:6">
      <c r="A373">
        <v>23</v>
      </c>
      <c r="B373">
        <v>1</v>
      </c>
      <c r="C373">
        <f t="shared" si="21"/>
        <v>3.4598980726760558</v>
      </c>
      <c r="D373" s="3">
        <f t="shared" si="22"/>
        <v>31.813733660666077</v>
      </c>
      <c r="E373" s="3">
        <f t="shared" si="23"/>
        <v>0.96952495530252014</v>
      </c>
      <c r="F373" s="4">
        <f t="shared" si="24"/>
        <v>-3.0949064246469118E-2</v>
      </c>
    </row>
    <row r="374" spans="1:6">
      <c r="A374">
        <v>22</v>
      </c>
      <c r="B374">
        <v>1</v>
      </c>
      <c r="C374">
        <f t="shared" si="21"/>
        <v>3.5571759983552065</v>
      </c>
      <c r="D374" s="3">
        <f t="shared" si="22"/>
        <v>35.064036299628512</v>
      </c>
      <c r="E374" s="3">
        <f t="shared" si="23"/>
        <v>0.97227154521219517</v>
      </c>
      <c r="F374" s="4">
        <f t="shared" si="24"/>
        <v>-2.81201460352739E-2</v>
      </c>
    </row>
    <row r="375" spans="1:6">
      <c r="A375">
        <v>21</v>
      </c>
      <c r="B375">
        <v>1</v>
      </c>
      <c r="C375">
        <f t="shared" si="21"/>
        <v>3.6544539240343576</v>
      </c>
      <c r="D375" s="3">
        <f t="shared" si="22"/>
        <v>38.64641147548744</v>
      </c>
      <c r="E375" s="3">
        <f t="shared" si="23"/>
        <v>0.97477703623647549</v>
      </c>
      <c r="F375" s="4">
        <f t="shared" si="24"/>
        <v>-2.5546514918829179E-2</v>
      </c>
    </row>
    <row r="376" spans="1:6">
      <c r="A376">
        <v>19</v>
      </c>
      <c r="B376">
        <v>1</v>
      </c>
      <c r="C376">
        <f t="shared" si="21"/>
        <v>3.8490097753926595</v>
      </c>
      <c r="D376" s="3">
        <f t="shared" si="22"/>
        <v>46.946552575791479</v>
      </c>
      <c r="E376" s="3">
        <f t="shared" si="23"/>
        <v>0.97914344314079205</v>
      </c>
      <c r="F376" s="4">
        <f t="shared" si="24"/>
        <v>-2.1077127122546516E-2</v>
      </c>
    </row>
    <row r="377" spans="1:6">
      <c r="A377">
        <v>56</v>
      </c>
      <c r="B377">
        <v>1</v>
      </c>
      <c r="C377">
        <f t="shared" si="21"/>
        <v>0.24972652526407391</v>
      </c>
      <c r="D377" s="3">
        <f t="shared" si="22"/>
        <v>1.283674316186737</v>
      </c>
      <c r="E377" s="3">
        <f t="shared" si="23"/>
        <v>0.56210918828837519</v>
      </c>
      <c r="F377" s="4">
        <f t="shared" si="24"/>
        <v>-0.57605916274874136</v>
      </c>
    </row>
    <row r="378" spans="1:6">
      <c r="A378">
        <v>48</v>
      </c>
      <c r="B378">
        <v>1</v>
      </c>
      <c r="C378">
        <f t="shared" si="21"/>
        <v>1.0279499306972815</v>
      </c>
      <c r="D378" s="3">
        <f t="shared" si="22"/>
        <v>2.7953293377337407</v>
      </c>
      <c r="E378" s="3">
        <f t="shared" si="23"/>
        <v>0.73651825414520733</v>
      </c>
      <c r="F378" s="4">
        <f t="shared" si="24"/>
        <v>-0.30582125839649665</v>
      </c>
    </row>
    <row r="379" spans="1:6">
      <c r="A379">
        <v>43</v>
      </c>
      <c r="B379">
        <v>1</v>
      </c>
      <c r="C379">
        <f t="shared" si="21"/>
        <v>1.5143395590930364</v>
      </c>
      <c r="D379" s="3">
        <f t="shared" si="22"/>
        <v>4.5464174950003198</v>
      </c>
      <c r="E379" s="3">
        <f t="shared" si="23"/>
        <v>0.81970343903944753</v>
      </c>
      <c r="F379" s="4">
        <f t="shared" si="24"/>
        <v>-0.19881266384647364</v>
      </c>
    </row>
    <row r="380" spans="1:6">
      <c r="A380">
        <v>42</v>
      </c>
      <c r="B380">
        <v>1</v>
      </c>
      <c r="C380">
        <f t="shared" si="21"/>
        <v>1.6116174847721876</v>
      </c>
      <c r="D380" s="3">
        <f t="shared" si="22"/>
        <v>5.010909746662529</v>
      </c>
      <c r="E380" s="3">
        <f t="shared" si="23"/>
        <v>0.83363583182142509</v>
      </c>
      <c r="F380" s="4">
        <f t="shared" si="24"/>
        <v>-0.18195862447614647</v>
      </c>
    </row>
    <row r="381" spans="1:6">
      <c r="A381">
        <v>36</v>
      </c>
      <c r="B381">
        <v>1</v>
      </c>
      <c r="C381">
        <f t="shared" si="21"/>
        <v>2.1952850388470933</v>
      </c>
      <c r="D381" s="3">
        <f t="shared" si="22"/>
        <v>8.9825610708018857</v>
      </c>
      <c r="E381" s="3">
        <f t="shared" si="23"/>
        <v>0.8998253060604946</v>
      </c>
      <c r="F381" s="4">
        <f t="shared" si="24"/>
        <v>-0.10555463887574723</v>
      </c>
    </row>
    <row r="382" spans="1:6">
      <c r="A382">
        <v>34</v>
      </c>
      <c r="B382">
        <v>1</v>
      </c>
      <c r="C382">
        <f t="shared" si="21"/>
        <v>2.3898408902053951</v>
      </c>
      <c r="D382" s="3">
        <f t="shared" si="22"/>
        <v>10.911757637397555</v>
      </c>
      <c r="E382" s="3">
        <f t="shared" si="23"/>
        <v>0.91604933289941615</v>
      </c>
      <c r="F382" s="4">
        <f t="shared" si="24"/>
        <v>-8.7685058881144459E-2</v>
      </c>
    </row>
    <row r="383" spans="1:6">
      <c r="A383">
        <v>21</v>
      </c>
      <c r="B383">
        <v>1</v>
      </c>
      <c r="C383">
        <f t="shared" si="21"/>
        <v>3.6544539240343576</v>
      </c>
      <c r="D383" s="3">
        <f t="shared" si="22"/>
        <v>38.64641147548744</v>
      </c>
      <c r="E383" s="3">
        <f t="shared" si="23"/>
        <v>0.97477703623647549</v>
      </c>
      <c r="F383" s="4">
        <f t="shared" si="24"/>
        <v>-2.5546514918829179E-2</v>
      </c>
    </row>
    <row r="384" spans="1:6">
      <c r="A384">
        <v>54</v>
      </c>
      <c r="B384">
        <v>1</v>
      </c>
      <c r="C384">
        <f t="shared" si="21"/>
        <v>0.44428237662237624</v>
      </c>
      <c r="D384" s="3">
        <f t="shared" si="22"/>
        <v>1.5593707533046897</v>
      </c>
      <c r="E384" s="3">
        <f t="shared" si="23"/>
        <v>0.60927896096773471</v>
      </c>
      <c r="F384" s="4">
        <f t="shared" si="24"/>
        <v>-0.49547905216509336</v>
      </c>
    </row>
    <row r="385" spans="1:6">
      <c r="A385">
        <v>52</v>
      </c>
      <c r="B385">
        <v>0</v>
      </c>
      <c r="C385">
        <f t="shared" si="21"/>
        <v>0.63883822798067769</v>
      </c>
      <c r="D385" s="3">
        <f t="shared" si="22"/>
        <v>1.8942788802423163</v>
      </c>
      <c r="E385" s="3">
        <f t="shared" si="23"/>
        <v>0.65449079325891446</v>
      </c>
      <c r="F385" s="4">
        <f t="shared" si="24"/>
        <v>-1.0627359885430985</v>
      </c>
    </row>
    <row r="386" spans="1:6">
      <c r="A386">
        <v>48</v>
      </c>
      <c r="B386">
        <v>0</v>
      </c>
      <c r="C386">
        <f t="shared" si="21"/>
        <v>1.0279499306972815</v>
      </c>
      <c r="D386" s="3">
        <f t="shared" si="22"/>
        <v>2.7953293377337407</v>
      </c>
      <c r="E386" s="3">
        <f t="shared" si="23"/>
        <v>0.73651825414520733</v>
      </c>
      <c r="F386" s="4">
        <f t="shared" si="24"/>
        <v>-1.3337711890937782</v>
      </c>
    </row>
    <row r="387" spans="1:6">
      <c r="A387">
        <v>47</v>
      </c>
      <c r="B387">
        <v>0</v>
      </c>
      <c r="C387">
        <f t="shared" ref="C387:C450" si="25">A387*$J$4+$J$3</f>
        <v>1.1252278563764326</v>
      </c>
      <c r="D387" s="3">
        <f t="shared" ref="D387:D450" si="26">EXP(C387)</f>
        <v>3.0809187759340886</v>
      </c>
      <c r="E387" s="3">
        <f t="shared" ref="E387:E450" si="27">D387/(1+D387)</f>
        <v>0.75495714202958897</v>
      </c>
      <c r="F387" s="4">
        <f t="shared" ref="F387:F450" si="28">B387*LN(E387)+(1-B387)*LN(1-E387)</f>
        <v>-1.4063221532444907</v>
      </c>
    </row>
    <row r="388" spans="1:6">
      <c r="A388">
        <v>47</v>
      </c>
      <c r="B388">
        <v>0</v>
      </c>
      <c r="C388">
        <f t="shared" si="25"/>
        <v>1.1252278563764326</v>
      </c>
      <c r="D388" s="3">
        <f t="shared" si="26"/>
        <v>3.0809187759340886</v>
      </c>
      <c r="E388" s="3">
        <f t="shared" si="27"/>
        <v>0.75495714202958897</v>
      </c>
      <c r="F388" s="4">
        <f t="shared" si="28"/>
        <v>-1.4063221532444907</v>
      </c>
    </row>
    <row r="389" spans="1:6">
      <c r="A389">
        <v>44</v>
      </c>
      <c r="B389">
        <v>1</v>
      </c>
      <c r="C389">
        <f t="shared" si="25"/>
        <v>1.4170616334138852</v>
      </c>
      <c r="D389" s="3">
        <f t="shared" si="26"/>
        <v>4.1249819062520521</v>
      </c>
      <c r="E389" s="3">
        <f t="shared" si="27"/>
        <v>0.80487735990246456</v>
      </c>
      <c r="F389" s="4">
        <f t="shared" si="28"/>
        <v>-0.21706536111694999</v>
      </c>
    </row>
    <row r="390" spans="1:6">
      <c r="A390">
        <v>44</v>
      </c>
      <c r="B390">
        <v>1</v>
      </c>
      <c r="C390">
        <f t="shared" si="25"/>
        <v>1.4170616334138852</v>
      </c>
      <c r="D390" s="3">
        <f t="shared" si="26"/>
        <v>4.1249819062520521</v>
      </c>
      <c r="E390" s="3">
        <f t="shared" si="27"/>
        <v>0.80487735990246456</v>
      </c>
      <c r="F390" s="4">
        <f t="shared" si="28"/>
        <v>-0.21706536111694999</v>
      </c>
    </row>
    <row r="391" spans="1:6">
      <c r="A391">
        <v>40</v>
      </c>
      <c r="B391">
        <v>1</v>
      </c>
      <c r="C391">
        <f t="shared" si="25"/>
        <v>1.8061733361304895</v>
      </c>
      <c r="D391" s="3">
        <f t="shared" si="26"/>
        <v>6.0871094855326735</v>
      </c>
      <c r="E391" s="3">
        <f t="shared" si="27"/>
        <v>0.8588987510294066</v>
      </c>
      <c r="F391" s="4">
        <f t="shared" si="28"/>
        <v>-0.15210423236236398</v>
      </c>
    </row>
    <row r="392" spans="1:6">
      <c r="A392">
        <v>27</v>
      </c>
      <c r="B392">
        <v>1</v>
      </c>
      <c r="C392">
        <f t="shared" si="25"/>
        <v>3.070786369959452</v>
      </c>
      <c r="D392" s="3">
        <f t="shared" si="26"/>
        <v>21.558849242397955</v>
      </c>
      <c r="E392" s="3">
        <f t="shared" si="27"/>
        <v>0.95567149772336069</v>
      </c>
      <c r="F392" s="4">
        <f t="shared" si="28"/>
        <v>-4.5341046610459235E-2</v>
      </c>
    </row>
    <row r="393" spans="1:6">
      <c r="A393">
        <v>24</v>
      </c>
      <c r="B393">
        <v>1</v>
      </c>
      <c r="C393">
        <f t="shared" si="25"/>
        <v>3.3626201469969046</v>
      </c>
      <c r="D393" s="3">
        <f t="shared" si="26"/>
        <v>28.864721698982507</v>
      </c>
      <c r="E393" s="3">
        <f t="shared" si="27"/>
        <v>0.96651567658726689</v>
      </c>
      <c r="F393" s="4">
        <f t="shared" si="28"/>
        <v>-3.405776050950781E-2</v>
      </c>
    </row>
    <row r="394" spans="1:6">
      <c r="A394">
        <v>24</v>
      </c>
      <c r="B394">
        <v>1</v>
      </c>
      <c r="C394">
        <f t="shared" si="25"/>
        <v>3.3626201469969046</v>
      </c>
      <c r="D394" s="3">
        <f t="shared" si="26"/>
        <v>28.864721698982507</v>
      </c>
      <c r="E394" s="3">
        <f t="shared" si="27"/>
        <v>0.96651567658726689</v>
      </c>
      <c r="F394" s="4">
        <f t="shared" si="28"/>
        <v>-3.405776050950781E-2</v>
      </c>
    </row>
    <row r="395" spans="1:6">
      <c r="A395">
        <v>19</v>
      </c>
      <c r="B395">
        <v>1</v>
      </c>
      <c r="C395">
        <f t="shared" si="25"/>
        <v>3.8490097753926595</v>
      </c>
      <c r="D395" s="3">
        <f t="shared" si="26"/>
        <v>46.946552575791479</v>
      </c>
      <c r="E395" s="3">
        <f t="shared" si="27"/>
        <v>0.97914344314079205</v>
      </c>
      <c r="F395" s="4">
        <f t="shared" si="28"/>
        <v>-2.1077127122546516E-2</v>
      </c>
    </row>
    <row r="396" spans="1:6">
      <c r="A396">
        <v>54</v>
      </c>
      <c r="B396">
        <v>1</v>
      </c>
      <c r="C396">
        <f t="shared" si="25"/>
        <v>0.44428237662237624</v>
      </c>
      <c r="D396" s="3">
        <f t="shared" si="26"/>
        <v>1.5593707533046897</v>
      </c>
      <c r="E396" s="3">
        <f t="shared" si="27"/>
        <v>0.60927896096773471</v>
      </c>
      <c r="F396" s="4">
        <f t="shared" si="28"/>
        <v>-0.49547905216509336</v>
      </c>
    </row>
    <row r="397" spans="1:6">
      <c r="A397">
        <v>50</v>
      </c>
      <c r="B397">
        <v>0</v>
      </c>
      <c r="C397">
        <f t="shared" si="25"/>
        <v>0.83339407933898002</v>
      </c>
      <c r="D397" s="3">
        <f t="shared" si="26"/>
        <v>2.3011156702327611</v>
      </c>
      <c r="E397" s="3">
        <f t="shared" si="27"/>
        <v>0.69707211140241865</v>
      </c>
      <c r="F397" s="4">
        <f t="shared" si="28"/>
        <v>-1.1942604932243459</v>
      </c>
    </row>
    <row r="398" spans="1:6">
      <c r="A398">
        <v>49</v>
      </c>
      <c r="B398">
        <v>1</v>
      </c>
      <c r="C398">
        <f t="shared" si="25"/>
        <v>0.9306720050181303</v>
      </c>
      <c r="D398" s="3">
        <f t="shared" si="26"/>
        <v>2.5362129529123676</v>
      </c>
      <c r="E398" s="3">
        <f t="shared" si="27"/>
        <v>0.7172116008521443</v>
      </c>
      <c r="F398" s="4">
        <f t="shared" si="28"/>
        <v>-0.33238436218378298</v>
      </c>
    </row>
    <row r="399" spans="1:6">
      <c r="A399">
        <v>41</v>
      </c>
      <c r="B399">
        <v>1</v>
      </c>
      <c r="C399">
        <f t="shared" si="25"/>
        <v>1.7088954104513383</v>
      </c>
      <c r="D399" s="3">
        <f t="shared" si="26"/>
        <v>5.5228576163121925</v>
      </c>
      <c r="E399" s="3">
        <f t="shared" si="27"/>
        <v>0.84669295900324026</v>
      </c>
      <c r="F399" s="4">
        <f t="shared" si="28"/>
        <v>-0.16641715417899317</v>
      </c>
    </row>
    <row r="400" spans="1:6">
      <c r="A400">
        <v>39</v>
      </c>
      <c r="B400">
        <v>1</v>
      </c>
      <c r="C400">
        <f t="shared" si="25"/>
        <v>1.9034512618096402</v>
      </c>
      <c r="D400" s="3">
        <f t="shared" si="26"/>
        <v>6.7090090788187604</v>
      </c>
      <c r="E400" s="3">
        <f t="shared" si="27"/>
        <v>0.87028164193662771</v>
      </c>
      <c r="F400" s="4">
        <f t="shared" si="28"/>
        <v>-0.13893839335764113</v>
      </c>
    </row>
    <row r="401" spans="1:6">
      <c r="A401">
        <v>38</v>
      </c>
      <c r="B401">
        <v>1</v>
      </c>
      <c r="C401">
        <f t="shared" si="25"/>
        <v>2.0007291874887914</v>
      </c>
      <c r="D401" s="3">
        <f t="shared" si="26"/>
        <v>7.3944460711032773</v>
      </c>
      <c r="E401" s="3">
        <f t="shared" si="27"/>
        <v>0.88087361673066633</v>
      </c>
      <c r="F401" s="4">
        <f t="shared" si="28"/>
        <v>-0.12684111767174036</v>
      </c>
    </row>
    <row r="402" spans="1:6">
      <c r="A402">
        <v>35</v>
      </c>
      <c r="B402">
        <v>1</v>
      </c>
      <c r="C402">
        <f t="shared" si="25"/>
        <v>2.292562964526244</v>
      </c>
      <c r="D402" s="3">
        <f t="shared" si="26"/>
        <v>9.9002792570569653</v>
      </c>
      <c r="E402" s="3">
        <f t="shared" si="27"/>
        <v>0.90825923112450646</v>
      </c>
      <c r="F402" s="4">
        <f t="shared" si="28"/>
        <v>-9.6225444294152598E-2</v>
      </c>
    </row>
    <row r="403" spans="1:6">
      <c r="A403">
        <v>30</v>
      </c>
      <c r="B403">
        <v>1</v>
      </c>
      <c r="C403">
        <f t="shared" si="25"/>
        <v>2.7789525929219989</v>
      </c>
      <c r="D403" s="3">
        <f t="shared" si="26"/>
        <v>16.102146610089314</v>
      </c>
      <c r="E403" s="3">
        <f t="shared" si="27"/>
        <v>0.94152780801153602</v>
      </c>
      <c r="F403" s="4">
        <f t="shared" si="28"/>
        <v>-6.0251395461799473E-2</v>
      </c>
    </row>
    <row r="404" spans="1:6">
      <c r="A404">
        <v>28</v>
      </c>
      <c r="B404">
        <v>1</v>
      </c>
      <c r="C404">
        <f t="shared" si="25"/>
        <v>2.9735084442803008</v>
      </c>
      <c r="D404" s="3">
        <f t="shared" si="26"/>
        <v>19.560426015055413</v>
      </c>
      <c r="E404" s="3">
        <f t="shared" si="27"/>
        <v>0.95136287549354537</v>
      </c>
      <c r="F404" s="4">
        <f t="shared" si="28"/>
        <v>-4.9859716668620373E-2</v>
      </c>
    </row>
    <row r="405" spans="1:6">
      <c r="A405">
        <v>49</v>
      </c>
      <c r="B405">
        <v>1</v>
      </c>
      <c r="C405">
        <f t="shared" si="25"/>
        <v>0.9306720050181303</v>
      </c>
      <c r="D405" s="3">
        <f t="shared" si="26"/>
        <v>2.5362129529123676</v>
      </c>
      <c r="E405" s="3">
        <f t="shared" si="27"/>
        <v>0.7172116008521443</v>
      </c>
      <c r="F405" s="4">
        <f t="shared" si="28"/>
        <v>-0.33238436218378298</v>
      </c>
    </row>
    <row r="406" spans="1:6">
      <c r="A406">
        <v>49</v>
      </c>
      <c r="B406">
        <v>1</v>
      </c>
      <c r="C406">
        <f t="shared" si="25"/>
        <v>0.9306720050181303</v>
      </c>
      <c r="D406" s="3">
        <f t="shared" si="26"/>
        <v>2.5362129529123676</v>
      </c>
      <c r="E406" s="3">
        <f t="shared" si="27"/>
        <v>0.7172116008521443</v>
      </c>
      <c r="F406" s="4">
        <f t="shared" si="28"/>
        <v>-0.33238436218378298</v>
      </c>
    </row>
    <row r="407" spans="1:6">
      <c r="A407">
        <v>46</v>
      </c>
      <c r="B407">
        <v>1</v>
      </c>
      <c r="C407">
        <f t="shared" si="25"/>
        <v>1.2225057820555838</v>
      </c>
      <c r="D407" s="3">
        <f t="shared" si="26"/>
        <v>3.3956859307314069</v>
      </c>
      <c r="E407" s="3">
        <f t="shared" si="27"/>
        <v>0.77250421987414186</v>
      </c>
      <c r="F407" s="4">
        <f t="shared" si="28"/>
        <v>-0.25811780760490821</v>
      </c>
    </row>
    <row r="408" spans="1:6">
      <c r="A408">
        <v>44</v>
      </c>
      <c r="B408">
        <v>0</v>
      </c>
      <c r="C408">
        <f t="shared" si="25"/>
        <v>1.4170616334138852</v>
      </c>
      <c r="D408" s="3">
        <f t="shared" si="26"/>
        <v>4.1249819062520521</v>
      </c>
      <c r="E408" s="3">
        <f t="shared" si="27"/>
        <v>0.80487735990246456</v>
      </c>
      <c r="F408" s="4">
        <f t="shared" si="28"/>
        <v>-1.634126994530835</v>
      </c>
    </row>
    <row r="409" spans="1:6">
      <c r="A409">
        <v>43</v>
      </c>
      <c r="B409">
        <v>1</v>
      </c>
      <c r="C409">
        <f t="shared" si="25"/>
        <v>1.5143395590930364</v>
      </c>
      <c r="D409" s="3">
        <f t="shared" si="26"/>
        <v>4.5464174950003198</v>
      </c>
      <c r="E409" s="3">
        <f t="shared" si="27"/>
        <v>0.81970343903944753</v>
      </c>
      <c r="F409" s="4">
        <f t="shared" si="28"/>
        <v>-0.19881266384647364</v>
      </c>
    </row>
    <row r="410" spans="1:6">
      <c r="A410">
        <v>43</v>
      </c>
      <c r="B410">
        <v>1</v>
      </c>
      <c r="C410">
        <f t="shared" si="25"/>
        <v>1.5143395590930364</v>
      </c>
      <c r="D410" s="3">
        <f t="shared" si="26"/>
        <v>4.5464174950003198</v>
      </c>
      <c r="E410" s="3">
        <f t="shared" si="27"/>
        <v>0.81970343903944753</v>
      </c>
      <c r="F410" s="4">
        <f t="shared" si="28"/>
        <v>-0.19881266384647364</v>
      </c>
    </row>
    <row r="411" spans="1:6">
      <c r="A411">
        <v>41</v>
      </c>
      <c r="B411">
        <v>1</v>
      </c>
      <c r="C411">
        <f t="shared" si="25"/>
        <v>1.7088954104513383</v>
      </c>
      <c r="D411" s="3">
        <f t="shared" si="26"/>
        <v>5.5228576163121925</v>
      </c>
      <c r="E411" s="3">
        <f t="shared" si="27"/>
        <v>0.84669295900324026</v>
      </c>
      <c r="F411" s="4">
        <f t="shared" si="28"/>
        <v>-0.16641715417899317</v>
      </c>
    </row>
    <row r="412" spans="1:6">
      <c r="A412">
        <v>38</v>
      </c>
      <c r="B412">
        <v>1</v>
      </c>
      <c r="C412">
        <f t="shared" si="25"/>
        <v>2.0007291874887914</v>
      </c>
      <c r="D412" s="3">
        <f t="shared" si="26"/>
        <v>7.3944460711032773</v>
      </c>
      <c r="E412" s="3">
        <f t="shared" si="27"/>
        <v>0.88087361673066633</v>
      </c>
      <c r="F412" s="4">
        <f t="shared" si="28"/>
        <v>-0.12684111767174036</v>
      </c>
    </row>
    <row r="413" spans="1:6">
      <c r="A413">
        <v>37</v>
      </c>
      <c r="B413">
        <v>1</v>
      </c>
      <c r="C413">
        <f t="shared" si="25"/>
        <v>2.0980071131679421</v>
      </c>
      <c r="D413" s="3">
        <f t="shared" si="26"/>
        <v>8.1499118656851888</v>
      </c>
      <c r="E413" s="3">
        <f t="shared" si="27"/>
        <v>0.89070932980783246</v>
      </c>
      <c r="F413" s="4">
        <f t="shared" si="28"/>
        <v>-0.11573713390754511</v>
      </c>
    </row>
    <row r="414" spans="1:6">
      <c r="A414">
        <v>35</v>
      </c>
      <c r="B414">
        <v>0</v>
      </c>
      <c r="C414">
        <f t="shared" si="25"/>
        <v>2.292562964526244</v>
      </c>
      <c r="D414" s="3">
        <f t="shared" si="26"/>
        <v>9.9002792570569653</v>
      </c>
      <c r="E414" s="3">
        <f t="shared" si="27"/>
        <v>0.90825923112450646</v>
      </c>
      <c r="F414" s="4">
        <f t="shared" si="28"/>
        <v>-2.388788408820397</v>
      </c>
    </row>
    <row r="415" spans="1:6">
      <c r="A415">
        <v>34</v>
      </c>
      <c r="B415">
        <v>1</v>
      </c>
      <c r="C415">
        <f t="shared" si="25"/>
        <v>2.3898408902053951</v>
      </c>
      <c r="D415" s="3">
        <f t="shared" si="26"/>
        <v>10.911757637397555</v>
      </c>
      <c r="E415" s="3">
        <f t="shared" si="27"/>
        <v>0.91604933289941615</v>
      </c>
      <c r="F415" s="4">
        <f t="shared" si="28"/>
        <v>-8.7685058881144459E-2</v>
      </c>
    </row>
    <row r="416" spans="1:6">
      <c r="A416">
        <v>34</v>
      </c>
      <c r="B416">
        <v>1</v>
      </c>
      <c r="C416">
        <f t="shared" si="25"/>
        <v>2.3898408902053951</v>
      </c>
      <c r="D416" s="3">
        <f t="shared" si="26"/>
        <v>10.911757637397555</v>
      </c>
      <c r="E416" s="3">
        <f t="shared" si="27"/>
        <v>0.91604933289941615</v>
      </c>
      <c r="F416" s="4">
        <f t="shared" si="28"/>
        <v>-8.7685058881144459E-2</v>
      </c>
    </row>
    <row r="417" spans="1:6">
      <c r="A417">
        <v>32</v>
      </c>
      <c r="B417">
        <v>1</v>
      </c>
      <c r="C417">
        <f t="shared" si="25"/>
        <v>2.584396741563697</v>
      </c>
      <c r="D417" s="3">
        <f t="shared" si="26"/>
        <v>13.255290311839165</v>
      </c>
      <c r="E417" s="3">
        <f t="shared" si="27"/>
        <v>0.92985060436338574</v>
      </c>
      <c r="F417" s="4">
        <f t="shared" si="28"/>
        <v>-7.2731346208375319E-2</v>
      </c>
    </row>
    <row r="418" spans="1:6">
      <c r="A418">
        <v>31</v>
      </c>
      <c r="B418">
        <v>1</v>
      </c>
      <c r="C418">
        <f t="shared" si="25"/>
        <v>2.6816746672428482</v>
      </c>
      <c r="D418" s="3">
        <f t="shared" si="26"/>
        <v>14.609538937301574</v>
      </c>
      <c r="E418" s="3">
        <f t="shared" si="27"/>
        <v>0.93593660876104834</v>
      </c>
      <c r="F418" s="4">
        <f t="shared" si="28"/>
        <v>-6.6207530480673266E-2</v>
      </c>
    </row>
    <row r="419" spans="1:6">
      <c r="A419">
        <v>29</v>
      </c>
      <c r="B419">
        <v>1</v>
      </c>
      <c r="C419">
        <f t="shared" si="25"/>
        <v>2.8762305186011501</v>
      </c>
      <c r="D419" s="3">
        <f t="shared" si="26"/>
        <v>17.747249010768609</v>
      </c>
      <c r="E419" s="3">
        <f t="shared" si="27"/>
        <v>0.94665884048237747</v>
      </c>
      <c r="F419" s="4">
        <f t="shared" si="28"/>
        <v>-5.481650362524778E-2</v>
      </c>
    </row>
    <row r="420" spans="1:6">
      <c r="A420">
        <v>29</v>
      </c>
      <c r="B420">
        <v>1</v>
      </c>
      <c r="C420">
        <f t="shared" si="25"/>
        <v>2.8762305186011501</v>
      </c>
      <c r="D420" s="3">
        <f t="shared" si="26"/>
        <v>17.747249010768609</v>
      </c>
      <c r="E420" s="3">
        <f t="shared" si="27"/>
        <v>0.94665884048237747</v>
      </c>
      <c r="F420" s="4">
        <f t="shared" si="28"/>
        <v>-5.481650362524778E-2</v>
      </c>
    </row>
    <row r="421" spans="1:6">
      <c r="A421">
        <v>25</v>
      </c>
      <c r="B421">
        <v>1</v>
      </c>
      <c r="C421">
        <f t="shared" si="25"/>
        <v>3.2653422213177539</v>
      </c>
      <c r="D421" s="3">
        <f t="shared" si="26"/>
        <v>26.189071916127556</v>
      </c>
      <c r="E421" s="3">
        <f t="shared" si="27"/>
        <v>0.96322051730618885</v>
      </c>
      <c r="F421" s="4">
        <f t="shared" si="28"/>
        <v>-3.7472903464467466E-2</v>
      </c>
    </row>
    <row r="422" spans="1:6">
      <c r="A422">
        <v>24</v>
      </c>
      <c r="B422">
        <v>1</v>
      </c>
      <c r="C422">
        <f t="shared" si="25"/>
        <v>3.3626201469969046</v>
      </c>
      <c r="D422" s="3">
        <f t="shared" si="26"/>
        <v>28.864721698982507</v>
      </c>
      <c r="E422" s="3">
        <f t="shared" si="27"/>
        <v>0.96651567658726689</v>
      </c>
      <c r="F422" s="4">
        <f t="shared" si="28"/>
        <v>-3.405776050950781E-2</v>
      </c>
    </row>
    <row r="423" spans="1:6">
      <c r="A423">
        <v>24</v>
      </c>
      <c r="B423">
        <v>1</v>
      </c>
      <c r="C423">
        <f t="shared" si="25"/>
        <v>3.3626201469969046</v>
      </c>
      <c r="D423" s="3">
        <f t="shared" si="26"/>
        <v>28.864721698982507</v>
      </c>
      <c r="E423" s="3">
        <f t="shared" si="27"/>
        <v>0.96651567658726689</v>
      </c>
      <c r="F423" s="4">
        <f t="shared" si="28"/>
        <v>-3.405776050950781E-2</v>
      </c>
    </row>
    <row r="424" spans="1:6">
      <c r="A424">
        <v>22</v>
      </c>
      <c r="B424">
        <v>1</v>
      </c>
      <c r="C424">
        <f t="shared" si="25"/>
        <v>3.5571759983552065</v>
      </c>
      <c r="D424" s="3">
        <f t="shared" si="26"/>
        <v>35.064036299628512</v>
      </c>
      <c r="E424" s="3">
        <f t="shared" si="27"/>
        <v>0.97227154521219517</v>
      </c>
      <c r="F424" s="4">
        <f t="shared" si="28"/>
        <v>-2.81201460352739E-2</v>
      </c>
    </row>
    <row r="425" spans="1:6">
      <c r="A425">
        <v>20</v>
      </c>
      <c r="B425">
        <v>1</v>
      </c>
      <c r="C425">
        <f t="shared" si="25"/>
        <v>3.7517318497135088</v>
      </c>
      <c r="D425" s="3">
        <f t="shared" si="26"/>
        <v>42.594785927383683</v>
      </c>
      <c r="E425" s="3">
        <f t="shared" si="27"/>
        <v>0.97706147699255341</v>
      </c>
      <c r="F425" s="4">
        <f t="shared" si="28"/>
        <v>-2.3205704668691349E-2</v>
      </c>
    </row>
    <row r="426" spans="1:6">
      <c r="A426">
        <v>57</v>
      </c>
      <c r="B426">
        <v>1</v>
      </c>
      <c r="C426">
        <f t="shared" si="25"/>
        <v>0.15244859958492274</v>
      </c>
      <c r="D426" s="3">
        <f t="shared" si="26"/>
        <v>1.1646825953872044</v>
      </c>
      <c r="E426" s="3">
        <f t="shared" si="27"/>
        <v>0.53803850867977876</v>
      </c>
      <c r="F426" s="4">
        <f t="shared" si="28"/>
        <v>-0.61982514391018995</v>
      </c>
    </row>
    <row r="427" spans="1:6">
      <c r="A427">
        <v>52</v>
      </c>
      <c r="B427">
        <v>1</v>
      </c>
      <c r="C427">
        <f t="shared" si="25"/>
        <v>0.63883822798067769</v>
      </c>
      <c r="D427" s="3">
        <f t="shared" si="26"/>
        <v>1.8942788802423163</v>
      </c>
      <c r="E427" s="3">
        <f t="shared" si="27"/>
        <v>0.65449079325891446</v>
      </c>
      <c r="F427" s="4">
        <f t="shared" si="28"/>
        <v>-0.42389776056242073</v>
      </c>
    </row>
    <row r="428" spans="1:6">
      <c r="A428">
        <v>48</v>
      </c>
      <c r="B428">
        <v>0</v>
      </c>
      <c r="C428">
        <f t="shared" si="25"/>
        <v>1.0279499306972815</v>
      </c>
      <c r="D428" s="3">
        <f t="shared" si="26"/>
        <v>2.7953293377337407</v>
      </c>
      <c r="E428" s="3">
        <f t="shared" si="27"/>
        <v>0.73651825414520733</v>
      </c>
      <c r="F428" s="4">
        <f t="shared" si="28"/>
        <v>-1.3337711890937782</v>
      </c>
    </row>
    <row r="429" spans="1:6">
      <c r="A429">
        <v>48</v>
      </c>
      <c r="B429">
        <v>1</v>
      </c>
      <c r="C429">
        <f t="shared" si="25"/>
        <v>1.0279499306972815</v>
      </c>
      <c r="D429" s="3">
        <f t="shared" si="26"/>
        <v>2.7953293377337407</v>
      </c>
      <c r="E429" s="3">
        <f t="shared" si="27"/>
        <v>0.73651825414520733</v>
      </c>
      <c r="F429" s="4">
        <f t="shared" si="28"/>
        <v>-0.30582125839649665</v>
      </c>
    </row>
    <row r="430" spans="1:6">
      <c r="A430">
        <v>46</v>
      </c>
      <c r="B430">
        <v>0</v>
      </c>
      <c r="C430">
        <f t="shared" si="25"/>
        <v>1.2225057820555838</v>
      </c>
      <c r="D430" s="3">
        <f t="shared" si="26"/>
        <v>3.3956859307314069</v>
      </c>
      <c r="E430" s="3">
        <f t="shared" si="27"/>
        <v>0.77250421987414186</v>
      </c>
      <c r="F430" s="4">
        <f t="shared" si="28"/>
        <v>-1.4806235896604918</v>
      </c>
    </row>
    <row r="431" spans="1:6">
      <c r="A431">
        <v>46</v>
      </c>
      <c r="B431">
        <v>1</v>
      </c>
      <c r="C431">
        <f t="shared" si="25"/>
        <v>1.2225057820555838</v>
      </c>
      <c r="D431" s="3">
        <f t="shared" si="26"/>
        <v>3.3956859307314069</v>
      </c>
      <c r="E431" s="3">
        <f t="shared" si="27"/>
        <v>0.77250421987414186</v>
      </c>
      <c r="F431" s="4">
        <f t="shared" si="28"/>
        <v>-0.25811780760490821</v>
      </c>
    </row>
    <row r="432" spans="1:6">
      <c r="A432">
        <v>46</v>
      </c>
      <c r="B432">
        <v>1</v>
      </c>
      <c r="C432">
        <f t="shared" si="25"/>
        <v>1.2225057820555838</v>
      </c>
      <c r="D432" s="3">
        <f t="shared" si="26"/>
        <v>3.3956859307314069</v>
      </c>
      <c r="E432" s="3">
        <f t="shared" si="27"/>
        <v>0.77250421987414186</v>
      </c>
      <c r="F432" s="4">
        <f t="shared" si="28"/>
        <v>-0.25811780760490821</v>
      </c>
    </row>
    <row r="433" spans="1:6">
      <c r="A433">
        <v>45</v>
      </c>
      <c r="B433">
        <v>0</v>
      </c>
      <c r="C433">
        <f t="shared" si="25"/>
        <v>1.319783707734735</v>
      </c>
      <c r="D433" s="3">
        <f t="shared" si="26"/>
        <v>3.7426117917280339</v>
      </c>
      <c r="E433" s="3">
        <f t="shared" si="27"/>
        <v>0.78914571887494989</v>
      </c>
      <c r="F433" s="4">
        <f t="shared" si="28"/>
        <v>-1.5565879948693004</v>
      </c>
    </row>
    <row r="434" spans="1:6">
      <c r="A434">
        <v>45</v>
      </c>
      <c r="B434">
        <v>0</v>
      </c>
      <c r="C434">
        <f t="shared" si="25"/>
        <v>1.319783707734735</v>
      </c>
      <c r="D434" s="3">
        <f t="shared" si="26"/>
        <v>3.7426117917280339</v>
      </c>
      <c r="E434" s="3">
        <f t="shared" si="27"/>
        <v>0.78914571887494989</v>
      </c>
      <c r="F434" s="4">
        <f t="shared" si="28"/>
        <v>-1.5565879948693004</v>
      </c>
    </row>
    <row r="435" spans="1:6">
      <c r="A435">
        <v>45</v>
      </c>
      <c r="B435">
        <v>1</v>
      </c>
      <c r="C435">
        <f t="shared" si="25"/>
        <v>1.319783707734735</v>
      </c>
      <c r="D435" s="3">
        <f t="shared" si="26"/>
        <v>3.7426117917280339</v>
      </c>
      <c r="E435" s="3">
        <f t="shared" si="27"/>
        <v>0.78914571887494989</v>
      </c>
      <c r="F435" s="4">
        <f t="shared" si="28"/>
        <v>-0.23680428713456608</v>
      </c>
    </row>
    <row r="436" spans="1:6">
      <c r="A436">
        <v>43</v>
      </c>
      <c r="B436">
        <v>1</v>
      </c>
      <c r="C436">
        <f t="shared" si="25"/>
        <v>1.5143395590930364</v>
      </c>
      <c r="D436" s="3">
        <f t="shared" si="26"/>
        <v>4.5464174950003198</v>
      </c>
      <c r="E436" s="3">
        <f t="shared" si="27"/>
        <v>0.81970343903944753</v>
      </c>
      <c r="F436" s="4">
        <f t="shared" si="28"/>
        <v>-0.19881266384647364</v>
      </c>
    </row>
    <row r="437" spans="1:6">
      <c r="A437">
        <v>41</v>
      </c>
      <c r="B437">
        <v>1</v>
      </c>
      <c r="C437">
        <f t="shared" si="25"/>
        <v>1.7088954104513383</v>
      </c>
      <c r="D437" s="3">
        <f t="shared" si="26"/>
        <v>5.5228576163121925</v>
      </c>
      <c r="E437" s="3">
        <f t="shared" si="27"/>
        <v>0.84669295900324026</v>
      </c>
      <c r="F437" s="4">
        <f t="shared" si="28"/>
        <v>-0.16641715417899317</v>
      </c>
    </row>
    <row r="438" spans="1:6">
      <c r="A438">
        <v>40</v>
      </c>
      <c r="B438">
        <v>1</v>
      </c>
      <c r="C438">
        <f t="shared" si="25"/>
        <v>1.8061733361304895</v>
      </c>
      <c r="D438" s="3">
        <f t="shared" si="26"/>
        <v>6.0871094855326735</v>
      </c>
      <c r="E438" s="3">
        <f t="shared" si="27"/>
        <v>0.8588987510294066</v>
      </c>
      <c r="F438" s="4">
        <f t="shared" si="28"/>
        <v>-0.15210423236236398</v>
      </c>
    </row>
    <row r="439" spans="1:6">
      <c r="A439">
        <v>40</v>
      </c>
      <c r="B439">
        <v>1</v>
      </c>
      <c r="C439">
        <f t="shared" si="25"/>
        <v>1.8061733361304895</v>
      </c>
      <c r="D439" s="3">
        <f t="shared" si="26"/>
        <v>6.0871094855326735</v>
      </c>
      <c r="E439" s="3">
        <f t="shared" si="27"/>
        <v>0.8588987510294066</v>
      </c>
      <c r="F439" s="4">
        <f t="shared" si="28"/>
        <v>-0.15210423236236398</v>
      </c>
    </row>
    <row r="440" spans="1:6">
      <c r="A440">
        <v>28</v>
      </c>
      <c r="B440">
        <v>1</v>
      </c>
      <c r="C440">
        <f t="shared" si="25"/>
        <v>2.9735084442803008</v>
      </c>
      <c r="D440" s="3">
        <f t="shared" si="26"/>
        <v>19.560426015055413</v>
      </c>
      <c r="E440" s="3">
        <f t="shared" si="27"/>
        <v>0.95136287549354537</v>
      </c>
      <c r="F440" s="4">
        <f t="shared" si="28"/>
        <v>-4.9859716668620373E-2</v>
      </c>
    </row>
    <row r="441" spans="1:6">
      <c r="A441">
        <v>26</v>
      </c>
      <c r="B441">
        <v>1</v>
      </c>
      <c r="C441">
        <f t="shared" si="25"/>
        <v>3.1680642956386027</v>
      </c>
      <c r="D441" s="3">
        <f t="shared" si="26"/>
        <v>23.761444679103832</v>
      </c>
      <c r="E441" s="3">
        <f t="shared" si="27"/>
        <v>0.95961463424450755</v>
      </c>
      <c r="F441" s="4">
        <f t="shared" si="28"/>
        <v>-4.1223497773871472E-2</v>
      </c>
    </row>
    <row r="442" spans="1:6">
      <c r="A442">
        <v>22</v>
      </c>
      <c r="B442">
        <v>1</v>
      </c>
      <c r="C442">
        <f t="shared" si="25"/>
        <v>3.5571759983552065</v>
      </c>
      <c r="D442" s="3">
        <f t="shared" si="26"/>
        <v>35.064036299628512</v>
      </c>
      <c r="E442" s="3">
        <f t="shared" si="27"/>
        <v>0.97227154521219517</v>
      </c>
      <c r="F442" s="4">
        <f t="shared" si="28"/>
        <v>-2.81201460352739E-2</v>
      </c>
    </row>
    <row r="443" spans="1:6">
      <c r="A443">
        <v>50</v>
      </c>
      <c r="B443">
        <v>1</v>
      </c>
      <c r="C443">
        <f t="shared" si="25"/>
        <v>0.83339407933898002</v>
      </c>
      <c r="D443" s="3">
        <f t="shared" si="26"/>
        <v>2.3011156702327611</v>
      </c>
      <c r="E443" s="3">
        <f t="shared" si="27"/>
        <v>0.69707211140241865</v>
      </c>
      <c r="F443" s="4">
        <f t="shared" si="28"/>
        <v>-0.36086641388536594</v>
      </c>
    </row>
    <row r="444" spans="1:6">
      <c r="A444">
        <v>42</v>
      </c>
      <c r="B444">
        <v>1</v>
      </c>
      <c r="C444">
        <f t="shared" si="25"/>
        <v>1.6116174847721876</v>
      </c>
      <c r="D444" s="3">
        <f t="shared" si="26"/>
        <v>5.010909746662529</v>
      </c>
      <c r="E444" s="3">
        <f t="shared" si="27"/>
        <v>0.83363583182142509</v>
      </c>
      <c r="F444" s="4">
        <f t="shared" si="28"/>
        <v>-0.18195862447614647</v>
      </c>
    </row>
    <row r="445" spans="1:6">
      <c r="A445">
        <v>37</v>
      </c>
      <c r="B445">
        <v>1</v>
      </c>
      <c r="C445">
        <f t="shared" si="25"/>
        <v>2.0980071131679421</v>
      </c>
      <c r="D445" s="3">
        <f t="shared" si="26"/>
        <v>8.1499118656851888</v>
      </c>
      <c r="E445" s="3">
        <f t="shared" si="27"/>
        <v>0.89070932980783246</v>
      </c>
      <c r="F445" s="4">
        <f t="shared" si="28"/>
        <v>-0.11573713390754511</v>
      </c>
    </row>
    <row r="446" spans="1:6">
      <c r="A446">
        <v>39</v>
      </c>
      <c r="B446">
        <v>1</v>
      </c>
      <c r="C446">
        <f t="shared" si="25"/>
        <v>1.9034512618096402</v>
      </c>
      <c r="D446" s="3">
        <f t="shared" si="26"/>
        <v>6.7090090788187604</v>
      </c>
      <c r="E446" s="3">
        <f t="shared" si="27"/>
        <v>0.87028164193662771</v>
      </c>
      <c r="F446" s="4">
        <f t="shared" si="28"/>
        <v>-0.13893839335764113</v>
      </c>
    </row>
    <row r="447" spans="1:6">
      <c r="A447">
        <v>34</v>
      </c>
      <c r="B447">
        <v>1</v>
      </c>
      <c r="C447">
        <f t="shared" si="25"/>
        <v>2.3898408902053951</v>
      </c>
      <c r="D447" s="3">
        <f t="shared" si="26"/>
        <v>10.911757637397555</v>
      </c>
      <c r="E447" s="3">
        <f t="shared" si="27"/>
        <v>0.91604933289941615</v>
      </c>
      <c r="F447" s="4">
        <f t="shared" si="28"/>
        <v>-8.7685058881144459E-2</v>
      </c>
    </row>
    <row r="448" spans="1:6">
      <c r="A448">
        <v>34</v>
      </c>
      <c r="B448">
        <v>1</v>
      </c>
      <c r="C448">
        <f t="shared" si="25"/>
        <v>2.3898408902053951</v>
      </c>
      <c r="D448" s="3">
        <f t="shared" si="26"/>
        <v>10.911757637397555</v>
      </c>
      <c r="E448" s="3">
        <f t="shared" si="27"/>
        <v>0.91604933289941615</v>
      </c>
      <c r="F448" s="4">
        <f t="shared" si="28"/>
        <v>-8.7685058881144459E-2</v>
      </c>
    </row>
    <row r="449" spans="1:6">
      <c r="A449">
        <v>53</v>
      </c>
      <c r="B449">
        <v>0</v>
      </c>
      <c r="C449">
        <f t="shared" si="25"/>
        <v>0.54156030230152652</v>
      </c>
      <c r="D449" s="3">
        <f t="shared" si="26"/>
        <v>1.7186864415746761</v>
      </c>
      <c r="E449" s="3">
        <f t="shared" si="27"/>
        <v>0.63217530910964659</v>
      </c>
      <c r="F449" s="4">
        <f t="shared" si="28"/>
        <v>-1.0001488377699783</v>
      </c>
    </row>
    <row r="450" spans="1:6">
      <c r="A450">
        <v>50</v>
      </c>
      <c r="B450">
        <v>0</v>
      </c>
      <c r="C450">
        <f t="shared" si="25"/>
        <v>0.83339407933898002</v>
      </c>
      <c r="D450" s="3">
        <f t="shared" si="26"/>
        <v>2.3011156702327611</v>
      </c>
      <c r="E450" s="3">
        <f t="shared" si="27"/>
        <v>0.69707211140241865</v>
      </c>
      <c r="F450" s="4">
        <f t="shared" si="28"/>
        <v>-1.1942604932243459</v>
      </c>
    </row>
    <row r="451" spans="1:6">
      <c r="A451">
        <v>49</v>
      </c>
      <c r="B451">
        <v>0</v>
      </c>
      <c r="C451">
        <f t="shared" ref="C451:C501" si="29">A451*$J$4+$J$3</f>
        <v>0.9306720050181303</v>
      </c>
      <c r="D451" s="3">
        <f t="shared" ref="D451:D501" si="30">EXP(C451)</f>
        <v>2.5362129529123676</v>
      </c>
      <c r="E451" s="3">
        <f t="shared" ref="E451:E501" si="31">D451/(1+D451)</f>
        <v>0.7172116008521443</v>
      </c>
      <c r="F451" s="4">
        <f t="shared" ref="F451:F501" si="32">B451*LN(E451)+(1-B451)*LN(1-E451)</f>
        <v>-1.2630563672019133</v>
      </c>
    </row>
    <row r="452" spans="1:6">
      <c r="A452">
        <v>46</v>
      </c>
      <c r="B452">
        <v>1</v>
      </c>
      <c r="C452">
        <f t="shared" si="29"/>
        <v>1.2225057820555838</v>
      </c>
      <c r="D452" s="3">
        <f t="shared" si="30"/>
        <v>3.3956859307314069</v>
      </c>
      <c r="E452" s="3">
        <f t="shared" si="31"/>
        <v>0.77250421987414186</v>
      </c>
      <c r="F452" s="4">
        <f t="shared" si="32"/>
        <v>-0.25811780760490821</v>
      </c>
    </row>
    <row r="453" spans="1:6">
      <c r="A453">
        <v>38</v>
      </c>
      <c r="B453">
        <v>1</v>
      </c>
      <c r="C453">
        <f t="shared" si="29"/>
        <v>2.0007291874887914</v>
      </c>
      <c r="D453" s="3">
        <f t="shared" si="30"/>
        <v>7.3944460711032773</v>
      </c>
      <c r="E453" s="3">
        <f t="shared" si="31"/>
        <v>0.88087361673066633</v>
      </c>
      <c r="F453" s="4">
        <f t="shared" si="32"/>
        <v>-0.12684111767174036</v>
      </c>
    </row>
    <row r="454" spans="1:6">
      <c r="A454">
        <v>36</v>
      </c>
      <c r="B454">
        <v>1</v>
      </c>
      <c r="C454">
        <f t="shared" si="29"/>
        <v>2.1952850388470933</v>
      </c>
      <c r="D454" s="3">
        <f t="shared" si="30"/>
        <v>8.9825610708018857</v>
      </c>
      <c r="E454" s="3">
        <f t="shared" si="31"/>
        <v>0.8998253060604946</v>
      </c>
      <c r="F454" s="4">
        <f t="shared" si="32"/>
        <v>-0.10555463887574723</v>
      </c>
    </row>
    <row r="455" spans="1:6">
      <c r="A455">
        <v>35</v>
      </c>
      <c r="B455">
        <v>0</v>
      </c>
      <c r="C455">
        <f t="shared" si="29"/>
        <v>2.292562964526244</v>
      </c>
      <c r="D455" s="3">
        <f t="shared" si="30"/>
        <v>9.9002792570569653</v>
      </c>
      <c r="E455" s="3">
        <f t="shared" si="31"/>
        <v>0.90825923112450646</v>
      </c>
      <c r="F455" s="4">
        <f t="shared" si="32"/>
        <v>-2.388788408820397</v>
      </c>
    </row>
    <row r="456" spans="1:6">
      <c r="A456">
        <v>35</v>
      </c>
      <c r="B456">
        <v>1</v>
      </c>
      <c r="C456">
        <f t="shared" si="29"/>
        <v>2.292562964526244</v>
      </c>
      <c r="D456" s="3">
        <f t="shared" si="30"/>
        <v>9.9002792570569653</v>
      </c>
      <c r="E456" s="3">
        <f t="shared" si="31"/>
        <v>0.90825923112450646</v>
      </c>
      <c r="F456" s="4">
        <f t="shared" si="32"/>
        <v>-9.6225444294152598E-2</v>
      </c>
    </row>
    <row r="457" spans="1:6">
      <c r="A457">
        <v>29</v>
      </c>
      <c r="B457">
        <v>0</v>
      </c>
      <c r="C457">
        <f t="shared" si="29"/>
        <v>2.8762305186011501</v>
      </c>
      <c r="D457" s="3">
        <f t="shared" si="30"/>
        <v>17.747249010768609</v>
      </c>
      <c r="E457" s="3">
        <f t="shared" si="31"/>
        <v>0.94665884048237747</v>
      </c>
      <c r="F457" s="4">
        <f t="shared" si="32"/>
        <v>-2.9310470222263985</v>
      </c>
    </row>
    <row r="458" spans="1:6">
      <c r="A458">
        <v>28</v>
      </c>
      <c r="B458">
        <v>1</v>
      </c>
      <c r="C458">
        <f t="shared" si="29"/>
        <v>2.9735084442803008</v>
      </c>
      <c r="D458" s="3">
        <f t="shared" si="30"/>
        <v>19.560426015055413</v>
      </c>
      <c r="E458" s="3">
        <f t="shared" si="31"/>
        <v>0.95136287549354537</v>
      </c>
      <c r="F458" s="4">
        <f t="shared" si="32"/>
        <v>-4.9859716668620373E-2</v>
      </c>
    </row>
    <row r="459" spans="1:6">
      <c r="A459">
        <v>28</v>
      </c>
      <c r="B459">
        <v>1</v>
      </c>
      <c r="C459">
        <f t="shared" si="29"/>
        <v>2.9735084442803008</v>
      </c>
      <c r="D459" s="3">
        <f t="shared" si="30"/>
        <v>19.560426015055413</v>
      </c>
      <c r="E459" s="3">
        <f t="shared" si="31"/>
        <v>0.95136287549354537</v>
      </c>
      <c r="F459" s="4">
        <f t="shared" si="32"/>
        <v>-4.9859716668620373E-2</v>
      </c>
    </row>
    <row r="460" spans="1:6">
      <c r="A460">
        <v>28</v>
      </c>
      <c r="B460">
        <v>1</v>
      </c>
      <c r="C460">
        <f t="shared" si="29"/>
        <v>2.9735084442803008</v>
      </c>
      <c r="D460" s="3">
        <f t="shared" si="30"/>
        <v>19.560426015055413</v>
      </c>
      <c r="E460" s="3">
        <f t="shared" si="31"/>
        <v>0.95136287549354537</v>
      </c>
      <c r="F460" s="4">
        <f t="shared" si="32"/>
        <v>-4.9859716668620373E-2</v>
      </c>
    </row>
    <row r="461" spans="1:6">
      <c r="A461">
        <v>27</v>
      </c>
      <c r="B461">
        <v>1</v>
      </c>
      <c r="C461">
        <f t="shared" si="29"/>
        <v>3.070786369959452</v>
      </c>
      <c r="D461" s="3">
        <f t="shared" si="30"/>
        <v>21.558849242397955</v>
      </c>
      <c r="E461" s="3">
        <f t="shared" si="31"/>
        <v>0.95567149772336069</v>
      </c>
      <c r="F461" s="4">
        <f t="shared" si="32"/>
        <v>-4.5341046610459235E-2</v>
      </c>
    </row>
    <row r="462" spans="1:6">
      <c r="A462">
        <v>20</v>
      </c>
      <c r="B462">
        <v>1</v>
      </c>
      <c r="C462">
        <f t="shared" si="29"/>
        <v>3.7517318497135088</v>
      </c>
      <c r="D462" s="3">
        <f t="shared" si="30"/>
        <v>42.594785927383683</v>
      </c>
      <c r="E462" s="3">
        <f t="shared" si="31"/>
        <v>0.97706147699255341</v>
      </c>
      <c r="F462" s="4">
        <f t="shared" si="32"/>
        <v>-2.3205704668691349E-2</v>
      </c>
    </row>
    <row r="463" spans="1:6">
      <c r="A463">
        <v>49</v>
      </c>
      <c r="B463">
        <v>1</v>
      </c>
      <c r="C463">
        <f t="shared" si="29"/>
        <v>0.9306720050181303</v>
      </c>
      <c r="D463" s="3">
        <f t="shared" si="30"/>
        <v>2.5362129529123676</v>
      </c>
      <c r="E463" s="3">
        <f t="shared" si="31"/>
        <v>0.7172116008521443</v>
      </c>
      <c r="F463" s="4">
        <f t="shared" si="32"/>
        <v>-0.33238436218378298</v>
      </c>
    </row>
    <row r="464" spans="1:6">
      <c r="A464">
        <v>48</v>
      </c>
      <c r="B464">
        <v>1</v>
      </c>
      <c r="C464">
        <f t="shared" si="29"/>
        <v>1.0279499306972815</v>
      </c>
      <c r="D464" s="3">
        <f t="shared" si="30"/>
        <v>2.7953293377337407</v>
      </c>
      <c r="E464" s="3">
        <f t="shared" si="31"/>
        <v>0.73651825414520733</v>
      </c>
      <c r="F464" s="4">
        <f t="shared" si="32"/>
        <v>-0.30582125839649665</v>
      </c>
    </row>
    <row r="465" spans="1:6">
      <c r="A465">
        <v>44</v>
      </c>
      <c r="B465">
        <v>1</v>
      </c>
      <c r="C465">
        <f t="shared" si="29"/>
        <v>1.4170616334138852</v>
      </c>
      <c r="D465" s="3">
        <f t="shared" si="30"/>
        <v>4.1249819062520521</v>
      </c>
      <c r="E465" s="3">
        <f t="shared" si="31"/>
        <v>0.80487735990246456</v>
      </c>
      <c r="F465" s="4">
        <f t="shared" si="32"/>
        <v>-0.21706536111694999</v>
      </c>
    </row>
    <row r="466" spans="1:6">
      <c r="A466">
        <v>41</v>
      </c>
      <c r="B466">
        <v>1</v>
      </c>
      <c r="C466">
        <f t="shared" si="29"/>
        <v>1.7088954104513383</v>
      </c>
      <c r="D466" s="3">
        <f t="shared" si="30"/>
        <v>5.5228576163121925</v>
      </c>
      <c r="E466" s="3">
        <f t="shared" si="31"/>
        <v>0.84669295900324026</v>
      </c>
      <c r="F466" s="4">
        <f t="shared" si="32"/>
        <v>-0.16641715417899317</v>
      </c>
    </row>
    <row r="467" spans="1:6">
      <c r="A467">
        <v>39</v>
      </c>
      <c r="B467">
        <v>1</v>
      </c>
      <c r="C467">
        <f t="shared" si="29"/>
        <v>1.9034512618096402</v>
      </c>
      <c r="D467" s="3">
        <f t="shared" si="30"/>
        <v>6.7090090788187604</v>
      </c>
      <c r="E467" s="3">
        <f t="shared" si="31"/>
        <v>0.87028164193662771</v>
      </c>
      <c r="F467" s="4">
        <f t="shared" si="32"/>
        <v>-0.13893839335764113</v>
      </c>
    </row>
    <row r="468" spans="1:6">
      <c r="A468">
        <v>37</v>
      </c>
      <c r="B468">
        <v>0</v>
      </c>
      <c r="C468">
        <f t="shared" si="29"/>
        <v>2.0980071131679421</v>
      </c>
      <c r="D468" s="3">
        <f t="shared" si="30"/>
        <v>8.1499118656851888</v>
      </c>
      <c r="E468" s="3">
        <f t="shared" si="31"/>
        <v>0.89070932980783246</v>
      </c>
      <c r="F468" s="4">
        <f t="shared" si="32"/>
        <v>-2.2137442470754869</v>
      </c>
    </row>
    <row r="469" spans="1:6">
      <c r="A469">
        <v>35</v>
      </c>
      <c r="B469">
        <v>1</v>
      </c>
      <c r="C469">
        <f t="shared" si="29"/>
        <v>2.292562964526244</v>
      </c>
      <c r="D469" s="3">
        <f t="shared" si="30"/>
        <v>9.9002792570569653</v>
      </c>
      <c r="E469" s="3">
        <f t="shared" si="31"/>
        <v>0.90825923112450646</v>
      </c>
      <c r="F469" s="4">
        <f t="shared" si="32"/>
        <v>-9.6225444294152598E-2</v>
      </c>
    </row>
    <row r="470" spans="1:6">
      <c r="A470">
        <v>33</v>
      </c>
      <c r="B470">
        <v>1</v>
      </c>
      <c r="C470">
        <f t="shared" si="29"/>
        <v>2.4871188158845459</v>
      </c>
      <c r="D470" s="3">
        <f t="shared" si="30"/>
        <v>12.026575376894819</v>
      </c>
      <c r="E470" s="3">
        <f t="shared" si="31"/>
        <v>0.92323385302220751</v>
      </c>
      <c r="F470" s="4">
        <f t="shared" si="32"/>
        <v>-7.9872714682438908E-2</v>
      </c>
    </row>
    <row r="471" spans="1:6">
      <c r="A471">
        <v>27</v>
      </c>
      <c r="B471">
        <v>1</v>
      </c>
      <c r="C471">
        <f t="shared" si="29"/>
        <v>3.070786369959452</v>
      </c>
      <c r="D471" s="3">
        <f t="shared" si="30"/>
        <v>21.558849242397955</v>
      </c>
      <c r="E471" s="3">
        <f t="shared" si="31"/>
        <v>0.95567149772336069</v>
      </c>
      <c r="F471" s="4">
        <f t="shared" si="32"/>
        <v>-4.5341046610459235E-2</v>
      </c>
    </row>
    <row r="472" spans="1:6">
      <c r="A472">
        <v>25</v>
      </c>
      <c r="B472">
        <v>1</v>
      </c>
      <c r="C472">
        <f t="shared" si="29"/>
        <v>3.2653422213177539</v>
      </c>
      <c r="D472" s="3">
        <f t="shared" si="30"/>
        <v>26.189071916127556</v>
      </c>
      <c r="E472" s="3">
        <f t="shared" si="31"/>
        <v>0.96322051730618885</v>
      </c>
      <c r="F472" s="4">
        <f t="shared" si="32"/>
        <v>-3.7472903464467466E-2</v>
      </c>
    </row>
    <row r="473" spans="1:6">
      <c r="A473">
        <v>21</v>
      </c>
      <c r="B473">
        <v>1</v>
      </c>
      <c r="C473">
        <f t="shared" si="29"/>
        <v>3.6544539240343576</v>
      </c>
      <c r="D473" s="3">
        <f t="shared" si="30"/>
        <v>38.64641147548744</v>
      </c>
      <c r="E473" s="3">
        <f t="shared" si="31"/>
        <v>0.97477703623647549</v>
      </c>
      <c r="F473" s="4">
        <f t="shared" si="32"/>
        <v>-2.5546514918829179E-2</v>
      </c>
    </row>
    <row r="474" spans="1:6">
      <c r="A474">
        <v>21</v>
      </c>
      <c r="B474">
        <v>1</v>
      </c>
      <c r="C474">
        <f t="shared" si="29"/>
        <v>3.6544539240343576</v>
      </c>
      <c r="D474" s="3">
        <f t="shared" si="30"/>
        <v>38.64641147548744</v>
      </c>
      <c r="E474" s="3">
        <f t="shared" si="31"/>
        <v>0.97477703623647549</v>
      </c>
      <c r="F474" s="4">
        <f t="shared" si="32"/>
        <v>-2.5546514918829179E-2</v>
      </c>
    </row>
    <row r="475" spans="1:6">
      <c r="A475">
        <v>21</v>
      </c>
      <c r="B475">
        <v>1</v>
      </c>
      <c r="C475">
        <f t="shared" si="29"/>
        <v>3.6544539240343576</v>
      </c>
      <c r="D475" s="3">
        <f t="shared" si="30"/>
        <v>38.64641147548744</v>
      </c>
      <c r="E475" s="3">
        <f t="shared" si="31"/>
        <v>0.97477703623647549</v>
      </c>
      <c r="F475" s="4">
        <f t="shared" si="32"/>
        <v>-2.5546514918829179E-2</v>
      </c>
    </row>
    <row r="476" spans="1:6">
      <c r="A476">
        <v>51</v>
      </c>
      <c r="B476">
        <v>1</v>
      </c>
      <c r="C476">
        <f t="shared" si="29"/>
        <v>0.73611615365982885</v>
      </c>
      <c r="D476" s="3">
        <f t="shared" si="30"/>
        <v>2.0878110103925982</v>
      </c>
      <c r="E476" s="3">
        <f t="shared" si="31"/>
        <v>0.67614598282268079</v>
      </c>
      <c r="F476" s="4">
        <f t="shared" si="32"/>
        <v>-0.39134627533209132</v>
      </c>
    </row>
    <row r="477" spans="1:6">
      <c r="A477">
        <v>49</v>
      </c>
      <c r="B477">
        <v>0</v>
      </c>
      <c r="C477">
        <f t="shared" si="29"/>
        <v>0.9306720050181303</v>
      </c>
      <c r="D477" s="3">
        <f t="shared" si="30"/>
        <v>2.5362129529123676</v>
      </c>
      <c r="E477" s="3">
        <f t="shared" si="31"/>
        <v>0.7172116008521443</v>
      </c>
      <c r="F477" s="4">
        <f t="shared" si="32"/>
        <v>-1.2630563672019133</v>
      </c>
    </row>
    <row r="478" spans="1:6">
      <c r="A478">
        <v>47</v>
      </c>
      <c r="B478">
        <v>0</v>
      </c>
      <c r="C478">
        <f t="shared" si="29"/>
        <v>1.1252278563764326</v>
      </c>
      <c r="D478" s="3">
        <f t="shared" si="30"/>
        <v>3.0809187759340886</v>
      </c>
      <c r="E478" s="3">
        <f t="shared" si="31"/>
        <v>0.75495714202958897</v>
      </c>
      <c r="F478" s="4">
        <f t="shared" si="32"/>
        <v>-1.4063221532444907</v>
      </c>
    </row>
    <row r="479" spans="1:6">
      <c r="A479">
        <v>43</v>
      </c>
      <c r="B479">
        <v>0</v>
      </c>
      <c r="C479">
        <f t="shared" si="29"/>
        <v>1.5143395590930364</v>
      </c>
      <c r="D479" s="3">
        <f t="shared" si="30"/>
        <v>4.5464174950003198</v>
      </c>
      <c r="E479" s="3">
        <f t="shared" si="31"/>
        <v>0.81970343903944753</v>
      </c>
      <c r="F479" s="4">
        <f t="shared" si="32"/>
        <v>-1.7131522229395102</v>
      </c>
    </row>
    <row r="480" spans="1:6">
      <c r="A480">
        <v>41</v>
      </c>
      <c r="B480">
        <v>1</v>
      </c>
      <c r="C480">
        <f t="shared" si="29"/>
        <v>1.7088954104513383</v>
      </c>
      <c r="D480" s="3">
        <f t="shared" si="30"/>
        <v>5.5228576163121925</v>
      </c>
      <c r="E480" s="3">
        <f t="shared" si="31"/>
        <v>0.84669295900324026</v>
      </c>
      <c r="F480" s="4">
        <f t="shared" si="32"/>
        <v>-0.16641715417899317</v>
      </c>
    </row>
    <row r="481" spans="1:6">
      <c r="A481">
        <v>40</v>
      </c>
      <c r="B481">
        <v>1</v>
      </c>
      <c r="C481">
        <f t="shared" si="29"/>
        <v>1.8061733361304895</v>
      </c>
      <c r="D481" s="3">
        <f t="shared" si="30"/>
        <v>6.0871094855326735</v>
      </c>
      <c r="E481" s="3">
        <f t="shared" si="31"/>
        <v>0.8588987510294066</v>
      </c>
      <c r="F481" s="4">
        <f t="shared" si="32"/>
        <v>-0.15210423236236398</v>
      </c>
    </row>
    <row r="482" spans="1:6">
      <c r="A482">
        <v>30</v>
      </c>
      <c r="B482">
        <v>1</v>
      </c>
      <c r="C482">
        <f t="shared" si="29"/>
        <v>2.7789525929219989</v>
      </c>
      <c r="D482" s="3">
        <f t="shared" si="30"/>
        <v>16.102146610089314</v>
      </c>
      <c r="E482" s="3">
        <f t="shared" si="31"/>
        <v>0.94152780801153602</v>
      </c>
      <c r="F482" s="4">
        <f t="shared" si="32"/>
        <v>-6.0251395461799473E-2</v>
      </c>
    </row>
    <row r="483" spans="1:6">
      <c r="A483">
        <v>25</v>
      </c>
      <c r="B483">
        <v>1</v>
      </c>
      <c r="C483">
        <f t="shared" si="29"/>
        <v>3.2653422213177539</v>
      </c>
      <c r="D483" s="3">
        <f t="shared" si="30"/>
        <v>26.189071916127556</v>
      </c>
      <c r="E483" s="3">
        <f t="shared" si="31"/>
        <v>0.96322051730618885</v>
      </c>
      <c r="F483" s="4">
        <f t="shared" si="32"/>
        <v>-3.7472903464467466E-2</v>
      </c>
    </row>
    <row r="484" spans="1:6">
      <c r="A484">
        <v>25</v>
      </c>
      <c r="B484">
        <v>1</v>
      </c>
      <c r="C484">
        <f t="shared" si="29"/>
        <v>3.2653422213177539</v>
      </c>
      <c r="D484" s="3">
        <f t="shared" si="30"/>
        <v>26.189071916127556</v>
      </c>
      <c r="E484" s="3">
        <f t="shared" si="31"/>
        <v>0.96322051730618885</v>
      </c>
      <c r="F484" s="4">
        <f t="shared" si="32"/>
        <v>-3.7472903464467466E-2</v>
      </c>
    </row>
    <row r="485" spans="1:6">
      <c r="A485">
        <v>25</v>
      </c>
      <c r="B485">
        <v>1</v>
      </c>
      <c r="C485">
        <f t="shared" si="29"/>
        <v>3.2653422213177539</v>
      </c>
      <c r="D485" s="3">
        <f t="shared" si="30"/>
        <v>26.189071916127556</v>
      </c>
      <c r="E485" s="3">
        <f t="shared" si="31"/>
        <v>0.96322051730618885</v>
      </c>
      <c r="F485" s="4">
        <f t="shared" si="32"/>
        <v>-3.7472903464467466E-2</v>
      </c>
    </row>
    <row r="486" spans="1:6">
      <c r="A486">
        <v>52</v>
      </c>
      <c r="B486">
        <v>1</v>
      </c>
      <c r="C486">
        <f t="shared" si="29"/>
        <v>0.63883822798067769</v>
      </c>
      <c r="D486" s="3">
        <f t="shared" si="30"/>
        <v>1.8942788802423163</v>
      </c>
      <c r="E486" s="3">
        <f t="shared" si="31"/>
        <v>0.65449079325891446</v>
      </c>
      <c r="F486" s="4">
        <f t="shared" si="32"/>
        <v>-0.42389776056242073</v>
      </c>
    </row>
    <row r="487" spans="1:6">
      <c r="A487">
        <v>52</v>
      </c>
      <c r="B487">
        <v>1</v>
      </c>
      <c r="C487">
        <f t="shared" si="29"/>
        <v>0.63883822798067769</v>
      </c>
      <c r="D487" s="3">
        <f t="shared" si="30"/>
        <v>1.8942788802423163</v>
      </c>
      <c r="E487" s="3">
        <f t="shared" si="31"/>
        <v>0.65449079325891446</v>
      </c>
      <c r="F487" s="4">
        <f t="shared" si="32"/>
        <v>-0.42389776056242073</v>
      </c>
    </row>
    <row r="488" spans="1:6">
      <c r="A488">
        <v>51</v>
      </c>
      <c r="B488">
        <v>1</v>
      </c>
      <c r="C488">
        <f t="shared" si="29"/>
        <v>0.73611615365982885</v>
      </c>
      <c r="D488" s="3">
        <f t="shared" si="30"/>
        <v>2.0878110103925982</v>
      </c>
      <c r="E488" s="3">
        <f t="shared" si="31"/>
        <v>0.67614598282268079</v>
      </c>
      <c r="F488" s="4">
        <f t="shared" si="32"/>
        <v>-0.39134627533209132</v>
      </c>
    </row>
    <row r="489" spans="1:6">
      <c r="A489">
        <v>46</v>
      </c>
      <c r="B489">
        <v>1</v>
      </c>
      <c r="C489">
        <f t="shared" si="29"/>
        <v>1.2225057820555838</v>
      </c>
      <c r="D489" s="3">
        <f t="shared" si="30"/>
        <v>3.3956859307314069</v>
      </c>
      <c r="E489" s="3">
        <f t="shared" si="31"/>
        <v>0.77250421987414186</v>
      </c>
      <c r="F489" s="4">
        <f t="shared" si="32"/>
        <v>-0.25811780760490821</v>
      </c>
    </row>
    <row r="490" spans="1:6">
      <c r="A490">
        <v>40</v>
      </c>
      <c r="B490">
        <v>1</v>
      </c>
      <c r="C490">
        <f t="shared" si="29"/>
        <v>1.8061733361304895</v>
      </c>
      <c r="D490" s="3">
        <f t="shared" si="30"/>
        <v>6.0871094855326735</v>
      </c>
      <c r="E490" s="3">
        <f t="shared" si="31"/>
        <v>0.8588987510294066</v>
      </c>
      <c r="F490" s="4">
        <f t="shared" si="32"/>
        <v>-0.15210423236236398</v>
      </c>
    </row>
    <row r="491" spans="1:6">
      <c r="A491">
        <v>38</v>
      </c>
      <c r="B491">
        <v>0</v>
      </c>
      <c r="C491">
        <f t="shared" si="29"/>
        <v>2.0007291874887914</v>
      </c>
      <c r="D491" s="3">
        <f t="shared" si="30"/>
        <v>7.3944460711032773</v>
      </c>
      <c r="E491" s="3">
        <f t="shared" si="31"/>
        <v>0.88087361673066633</v>
      </c>
      <c r="F491" s="4">
        <f t="shared" si="32"/>
        <v>-2.1275703051605301</v>
      </c>
    </row>
    <row r="492" spans="1:6">
      <c r="A492">
        <v>38</v>
      </c>
      <c r="B492">
        <v>1</v>
      </c>
      <c r="C492">
        <f t="shared" si="29"/>
        <v>2.0007291874887914</v>
      </c>
      <c r="D492" s="3">
        <f t="shared" si="30"/>
        <v>7.3944460711032773</v>
      </c>
      <c r="E492" s="3">
        <f t="shared" si="31"/>
        <v>0.88087361673066633</v>
      </c>
      <c r="F492" s="4">
        <f t="shared" si="32"/>
        <v>-0.12684111767174036</v>
      </c>
    </row>
    <row r="493" spans="1:6">
      <c r="A493">
        <v>36</v>
      </c>
      <c r="B493">
        <v>1</v>
      </c>
      <c r="C493">
        <f t="shared" si="29"/>
        <v>2.1952850388470933</v>
      </c>
      <c r="D493" s="3">
        <f t="shared" si="30"/>
        <v>8.9825610708018857</v>
      </c>
      <c r="E493" s="3">
        <f t="shared" si="31"/>
        <v>0.8998253060604946</v>
      </c>
      <c r="F493" s="4">
        <f t="shared" si="32"/>
        <v>-0.10555463887574723</v>
      </c>
    </row>
    <row r="494" spans="1:6">
      <c r="A494">
        <v>33</v>
      </c>
      <c r="B494">
        <v>1</v>
      </c>
      <c r="C494">
        <f t="shared" si="29"/>
        <v>2.4871188158845459</v>
      </c>
      <c r="D494" s="3">
        <f t="shared" si="30"/>
        <v>12.026575376894819</v>
      </c>
      <c r="E494" s="3">
        <f t="shared" si="31"/>
        <v>0.92323385302220751</v>
      </c>
      <c r="F494" s="4">
        <f t="shared" si="32"/>
        <v>-7.9872714682438908E-2</v>
      </c>
    </row>
    <row r="495" spans="1:6">
      <c r="A495">
        <v>33</v>
      </c>
      <c r="B495">
        <v>1</v>
      </c>
      <c r="C495">
        <f t="shared" si="29"/>
        <v>2.4871188158845459</v>
      </c>
      <c r="D495" s="3">
        <f t="shared" si="30"/>
        <v>12.026575376894819</v>
      </c>
      <c r="E495" s="3">
        <f t="shared" si="31"/>
        <v>0.92323385302220751</v>
      </c>
      <c r="F495" s="4">
        <f t="shared" si="32"/>
        <v>-7.9872714682438908E-2</v>
      </c>
    </row>
    <row r="496" spans="1:6">
      <c r="A496">
        <v>29</v>
      </c>
      <c r="B496">
        <v>1</v>
      </c>
      <c r="C496">
        <f t="shared" si="29"/>
        <v>2.8762305186011501</v>
      </c>
      <c r="D496" s="3">
        <f t="shared" si="30"/>
        <v>17.747249010768609</v>
      </c>
      <c r="E496" s="3">
        <f t="shared" si="31"/>
        <v>0.94665884048237747</v>
      </c>
      <c r="F496" s="4">
        <f t="shared" si="32"/>
        <v>-5.481650362524778E-2</v>
      </c>
    </row>
    <row r="497" spans="1:6">
      <c r="A497">
        <v>29</v>
      </c>
      <c r="B497">
        <v>1</v>
      </c>
      <c r="C497">
        <f t="shared" si="29"/>
        <v>2.8762305186011501</v>
      </c>
      <c r="D497" s="3">
        <f t="shared" si="30"/>
        <v>17.747249010768609</v>
      </c>
      <c r="E497" s="3">
        <f t="shared" si="31"/>
        <v>0.94665884048237747</v>
      </c>
      <c r="F497" s="4">
        <f t="shared" si="32"/>
        <v>-5.481650362524778E-2</v>
      </c>
    </row>
    <row r="498" spans="1:6">
      <c r="A498">
        <v>29</v>
      </c>
      <c r="B498">
        <v>1</v>
      </c>
      <c r="C498">
        <f t="shared" si="29"/>
        <v>2.8762305186011501</v>
      </c>
      <c r="D498" s="3">
        <f t="shared" si="30"/>
        <v>17.747249010768609</v>
      </c>
      <c r="E498" s="3">
        <f t="shared" si="31"/>
        <v>0.94665884048237747</v>
      </c>
      <c r="F498" s="4">
        <f t="shared" si="32"/>
        <v>-5.481650362524778E-2</v>
      </c>
    </row>
    <row r="499" spans="1:6">
      <c r="A499">
        <v>25</v>
      </c>
      <c r="B499">
        <v>1</v>
      </c>
      <c r="C499">
        <f t="shared" si="29"/>
        <v>3.2653422213177539</v>
      </c>
      <c r="D499" s="3">
        <f t="shared" si="30"/>
        <v>26.189071916127556</v>
      </c>
      <c r="E499" s="3">
        <f t="shared" si="31"/>
        <v>0.96322051730618885</v>
      </c>
      <c r="F499" s="4">
        <f t="shared" si="32"/>
        <v>-3.7472903464467466E-2</v>
      </c>
    </row>
    <row r="500" spans="1:6">
      <c r="A500">
        <v>23</v>
      </c>
      <c r="B500">
        <v>1</v>
      </c>
      <c r="C500">
        <f t="shared" si="29"/>
        <v>3.4598980726760558</v>
      </c>
      <c r="D500" s="3">
        <f t="shared" si="30"/>
        <v>31.813733660666077</v>
      </c>
      <c r="E500" s="3">
        <f t="shared" si="31"/>
        <v>0.96952495530252014</v>
      </c>
      <c r="F500" s="4">
        <f t="shared" si="32"/>
        <v>-3.0949064246469118E-2</v>
      </c>
    </row>
    <row r="501" spans="1:6">
      <c r="A501">
        <v>20</v>
      </c>
      <c r="B501">
        <v>1</v>
      </c>
      <c r="C501">
        <f t="shared" si="29"/>
        <v>3.7517318497135088</v>
      </c>
      <c r="D501" s="3">
        <f t="shared" si="30"/>
        <v>42.594785927383683</v>
      </c>
      <c r="E501" s="3">
        <f t="shared" si="31"/>
        <v>0.97706147699255341</v>
      </c>
      <c r="F501" s="4">
        <f t="shared" si="32"/>
        <v>-2.3205704668691349E-2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231656-C11D-054C-BEE9-DECC6338EC18}">
  <dimension ref="A1:O46"/>
  <sheetViews>
    <sheetView workbookViewId="0">
      <selection activeCell="G3" sqref="G3"/>
    </sheetView>
  </sheetViews>
  <sheetFormatPr baseColWidth="10" defaultColWidth="10.6640625" defaultRowHeight="15"/>
  <cols>
    <col min="1" max="1" width="7.6640625" bestFit="1" customWidth="1"/>
    <col min="2" max="2" width="12.6640625" bestFit="1" customWidth="1"/>
    <col min="3" max="4" width="12.1640625" bestFit="1" customWidth="1"/>
    <col min="6" max="6" width="1.6640625" bestFit="1" customWidth="1"/>
    <col min="7" max="7" width="12.33203125" bestFit="1" customWidth="1"/>
    <col min="9" max="9" width="7.6640625" bestFit="1" customWidth="1"/>
    <col min="10" max="10" width="12.1640625" bestFit="1" customWidth="1"/>
  </cols>
  <sheetData>
    <row r="1" spans="1:15">
      <c r="A1" s="16" t="s">
        <v>0</v>
      </c>
      <c r="B1" s="16" t="s">
        <v>5</v>
      </c>
      <c r="C1" s="16" t="s">
        <v>23</v>
      </c>
      <c r="D1" s="16" t="s">
        <v>24</v>
      </c>
      <c r="G1" t="s">
        <v>1</v>
      </c>
      <c r="I1" s="16" t="s">
        <v>25</v>
      </c>
      <c r="J1" t="s">
        <v>24</v>
      </c>
    </row>
    <row r="2" spans="1:15">
      <c r="A2">
        <v>18</v>
      </c>
      <c r="B2">
        <f>$G$2+$G$3*A2</f>
        <v>3.9462877010718103</v>
      </c>
      <c r="C2">
        <f>EXP(B2)</f>
        <v>51.74292465065875</v>
      </c>
      <c r="D2">
        <f>C2/(1+C2)</f>
        <v>0.98104011094144905</v>
      </c>
      <c r="F2" t="s">
        <v>3</v>
      </c>
      <c r="G2">
        <f>'[1]Logistic Regression'!J3</f>
        <v>5.6972903632965277</v>
      </c>
      <c r="I2">
        <v>1</v>
      </c>
      <c r="J2">
        <v>0.98104011094144905</v>
      </c>
    </row>
    <row r="3" spans="1:15">
      <c r="A3">
        <v>19</v>
      </c>
      <c r="B3">
        <f t="shared" ref="B3:B46" si="0">$G$2+$G$3*A3</f>
        <v>3.8490097753926595</v>
      </c>
      <c r="C3">
        <f t="shared" ref="C3:C46" si="1">EXP(B3)</f>
        <v>46.946552575791479</v>
      </c>
      <c r="D3">
        <f t="shared" ref="D3:D46" si="2">C3/(1+C3)</f>
        <v>0.97914344314079205</v>
      </c>
      <c r="F3" t="s">
        <v>4</v>
      </c>
      <c r="G3">
        <f>'[1]Logistic Regression'!J4</f>
        <v>-9.7277925679150959E-2</v>
      </c>
      <c r="I3">
        <v>2</v>
      </c>
      <c r="J3">
        <v>0.97914344314079205</v>
      </c>
    </row>
    <row r="4" spans="1:15">
      <c r="A4">
        <v>20</v>
      </c>
      <c r="B4">
        <f t="shared" si="0"/>
        <v>3.7517318497135088</v>
      </c>
      <c r="C4">
        <f t="shared" si="1"/>
        <v>42.594785927383683</v>
      </c>
      <c r="D4">
        <f>C4/(1+C4)</f>
        <v>0.97706147699255341</v>
      </c>
      <c r="I4">
        <v>3</v>
      </c>
      <c r="J4">
        <v>0.97706147699255341</v>
      </c>
    </row>
    <row r="5" spans="1:15">
      <c r="A5">
        <v>21</v>
      </c>
      <c r="B5">
        <f t="shared" si="0"/>
        <v>3.6544539240343576</v>
      </c>
      <c r="C5">
        <f t="shared" si="1"/>
        <v>38.64641147548744</v>
      </c>
      <c r="D5">
        <f>C5/(1+C5)</f>
        <v>0.97477703623647549</v>
      </c>
      <c r="I5">
        <v>4</v>
      </c>
      <c r="J5">
        <v>0.97477703623647549</v>
      </c>
    </row>
    <row r="6" spans="1:15">
      <c r="A6">
        <v>22</v>
      </c>
      <c r="B6">
        <f t="shared" si="0"/>
        <v>3.5571759983552065</v>
      </c>
      <c r="C6">
        <f t="shared" si="1"/>
        <v>35.064036299628512</v>
      </c>
      <c r="D6">
        <f t="shared" si="2"/>
        <v>0.97227154521219517</v>
      </c>
      <c r="I6">
        <v>5</v>
      </c>
      <c r="J6">
        <v>0.97227154521219517</v>
      </c>
    </row>
    <row r="7" spans="1:15">
      <c r="A7">
        <v>23</v>
      </c>
      <c r="B7">
        <f t="shared" si="0"/>
        <v>3.4598980726760558</v>
      </c>
      <c r="C7">
        <f t="shared" si="1"/>
        <v>31.813733660666077</v>
      </c>
      <c r="D7">
        <f t="shared" si="2"/>
        <v>0.96952495530252014</v>
      </c>
      <c r="I7">
        <v>6</v>
      </c>
      <c r="J7">
        <v>0.96952495530252014</v>
      </c>
    </row>
    <row r="8" spans="1:15">
      <c r="A8">
        <v>24</v>
      </c>
      <c r="B8">
        <f t="shared" si="0"/>
        <v>3.3626201469969046</v>
      </c>
      <c r="C8">
        <f t="shared" si="1"/>
        <v>28.864721698982507</v>
      </c>
      <c r="D8">
        <f t="shared" si="2"/>
        <v>0.96651567658726689</v>
      </c>
      <c r="I8">
        <v>7</v>
      </c>
      <c r="J8">
        <v>0.96651567658726689</v>
      </c>
    </row>
    <row r="9" spans="1:15">
      <c r="A9">
        <v>25</v>
      </c>
      <c r="B9">
        <f t="shared" si="0"/>
        <v>3.2653422213177539</v>
      </c>
      <c r="C9">
        <f t="shared" si="1"/>
        <v>26.189071916127556</v>
      </c>
      <c r="D9">
        <f t="shared" si="2"/>
        <v>0.96322051730618885</v>
      </c>
      <c r="I9">
        <v>8</v>
      </c>
      <c r="J9">
        <v>0.96322051730618885</v>
      </c>
    </row>
    <row r="10" spans="1:15">
      <c r="A10">
        <v>26</v>
      </c>
      <c r="B10">
        <f t="shared" si="0"/>
        <v>3.1680642956386027</v>
      </c>
      <c r="C10">
        <f t="shared" si="1"/>
        <v>23.761444679103832</v>
      </c>
      <c r="D10">
        <f t="shared" si="2"/>
        <v>0.95961463424450755</v>
      </c>
      <c r="I10">
        <v>9</v>
      </c>
      <c r="J10">
        <v>0.95961463424450755</v>
      </c>
      <c r="N10" t="s">
        <v>7</v>
      </c>
    </row>
    <row r="11" spans="1:15">
      <c r="A11">
        <v>27</v>
      </c>
      <c r="B11">
        <f t="shared" si="0"/>
        <v>3.070786369959452</v>
      </c>
      <c r="C11">
        <f t="shared" si="1"/>
        <v>21.558849242397955</v>
      </c>
      <c r="D11">
        <f t="shared" si="2"/>
        <v>0.95567149772336069</v>
      </c>
      <c r="I11">
        <v>10</v>
      </c>
      <c r="J11">
        <v>0.95567149772336069</v>
      </c>
      <c r="M11">
        <v>3.8839999999999999</v>
      </c>
      <c r="N11" s="17">
        <v>0.4933649289099552</v>
      </c>
      <c r="O11">
        <f>N11*M11</f>
        <v>1.9162293838862658</v>
      </c>
    </row>
    <row r="12" spans="1:15">
      <c r="A12">
        <v>28</v>
      </c>
      <c r="B12">
        <f t="shared" si="0"/>
        <v>2.9735084442803008</v>
      </c>
      <c r="C12">
        <f t="shared" si="1"/>
        <v>19.560426015055413</v>
      </c>
      <c r="D12">
        <f t="shared" si="2"/>
        <v>0.95136287549354537</v>
      </c>
      <c r="I12">
        <v>11</v>
      </c>
      <c r="J12">
        <v>0.95136287549354537</v>
      </c>
    </row>
    <row r="13" spans="1:15">
      <c r="A13">
        <v>29</v>
      </c>
      <c r="B13">
        <f t="shared" si="0"/>
        <v>2.8762305186011501</v>
      </c>
      <c r="C13">
        <f t="shared" si="1"/>
        <v>17.747249010768609</v>
      </c>
      <c r="D13">
        <f t="shared" si="2"/>
        <v>0.94665884048237747</v>
      </c>
      <c r="I13">
        <v>12</v>
      </c>
      <c r="J13">
        <v>0.94665884048237747</v>
      </c>
      <c r="M13">
        <f>1-N11</f>
        <v>0.5066350710900448</v>
      </c>
      <c r="N13">
        <v>-0.33600000000000002</v>
      </c>
      <c r="O13">
        <f t="shared" ref="O13" si="3">N13*M13</f>
        <v>-0.17022938388625505</v>
      </c>
    </row>
    <row r="14" spans="1:15">
      <c r="A14">
        <v>30</v>
      </c>
      <c r="B14">
        <f t="shared" si="0"/>
        <v>2.7789525929219989</v>
      </c>
      <c r="C14">
        <f t="shared" si="1"/>
        <v>16.102146610089314</v>
      </c>
      <c r="D14">
        <f t="shared" si="2"/>
        <v>0.94152780801153602</v>
      </c>
      <c r="I14">
        <v>13</v>
      </c>
      <c r="J14">
        <v>0.94152780801153602</v>
      </c>
    </row>
    <row r="15" spans="1:15">
      <c r="A15">
        <v>31</v>
      </c>
      <c r="B15">
        <f t="shared" si="0"/>
        <v>2.6816746672428482</v>
      </c>
      <c r="C15">
        <f t="shared" si="1"/>
        <v>14.609538937301574</v>
      </c>
      <c r="D15">
        <f t="shared" si="2"/>
        <v>0.93593660876104834</v>
      </c>
      <c r="I15">
        <v>14</v>
      </c>
      <c r="J15">
        <v>0.93593660876104834</v>
      </c>
    </row>
    <row r="16" spans="1:15">
      <c r="A16">
        <v>32</v>
      </c>
      <c r="B16">
        <f t="shared" si="0"/>
        <v>2.584396741563697</v>
      </c>
      <c r="C16">
        <f t="shared" si="1"/>
        <v>13.255290311839165</v>
      </c>
      <c r="D16">
        <f t="shared" si="2"/>
        <v>0.92985060436338574</v>
      </c>
      <c r="I16">
        <v>15</v>
      </c>
      <c r="J16">
        <v>0.92985060436338574</v>
      </c>
      <c r="N16">
        <f>O11+O13</f>
        <v>1.7460000000000109</v>
      </c>
    </row>
    <row r="17" spans="1:14">
      <c r="A17">
        <v>33</v>
      </c>
      <c r="B17">
        <f t="shared" si="0"/>
        <v>2.4871188158845459</v>
      </c>
      <c r="C17">
        <f t="shared" si="1"/>
        <v>12.026575376894819</v>
      </c>
      <c r="D17">
        <f t="shared" si="2"/>
        <v>0.92323385302220751</v>
      </c>
      <c r="I17">
        <v>16</v>
      </c>
      <c r="J17">
        <v>0.92323385302220751</v>
      </c>
    </row>
    <row r="18" spans="1:14">
      <c r="A18">
        <v>34</v>
      </c>
      <c r="B18">
        <f t="shared" si="0"/>
        <v>2.3898408902053951</v>
      </c>
      <c r="C18">
        <f t="shared" si="1"/>
        <v>10.911757637397555</v>
      </c>
      <c r="D18">
        <f t="shared" si="2"/>
        <v>0.91604933289941615</v>
      </c>
      <c r="I18">
        <v>17</v>
      </c>
      <c r="J18">
        <v>0.91604933289941615</v>
      </c>
    </row>
    <row r="19" spans="1:14">
      <c r="A19">
        <v>35</v>
      </c>
      <c r="B19">
        <f t="shared" si="0"/>
        <v>2.292562964526244</v>
      </c>
      <c r="C19">
        <f t="shared" si="1"/>
        <v>9.9002792570569653</v>
      </c>
      <c r="D19">
        <f t="shared" si="2"/>
        <v>0.90825923112450646</v>
      </c>
      <c r="I19">
        <v>18</v>
      </c>
      <c r="J19">
        <v>0.90825923112450646</v>
      </c>
    </row>
    <row r="20" spans="1:14">
      <c r="A20">
        <v>36</v>
      </c>
      <c r="B20">
        <f t="shared" si="0"/>
        <v>2.1952850388470933</v>
      </c>
      <c r="C20">
        <f t="shared" si="1"/>
        <v>8.9825610708018857</v>
      </c>
      <c r="D20">
        <f t="shared" si="2"/>
        <v>0.8998253060604946</v>
      </c>
      <c r="I20">
        <v>19</v>
      </c>
      <c r="J20">
        <v>0.8998253060604946</v>
      </c>
      <c r="N20">
        <v>1.746</v>
      </c>
    </row>
    <row r="21" spans="1:14">
      <c r="A21">
        <v>37</v>
      </c>
      <c r="B21">
        <f t="shared" si="0"/>
        <v>2.0980071131679421</v>
      </c>
      <c r="C21">
        <f t="shared" si="1"/>
        <v>8.1499118656851888</v>
      </c>
      <c r="D21">
        <f t="shared" si="2"/>
        <v>0.89070932980783246</v>
      </c>
      <c r="I21">
        <v>20</v>
      </c>
      <c r="J21">
        <v>0.89070932980783246</v>
      </c>
    </row>
    <row r="22" spans="1:14">
      <c r="A22">
        <v>38</v>
      </c>
      <c r="B22">
        <f t="shared" si="0"/>
        <v>2.0007291874887914</v>
      </c>
      <c r="C22">
        <f t="shared" si="1"/>
        <v>7.3944460711032773</v>
      </c>
      <c r="D22">
        <f t="shared" si="2"/>
        <v>0.88087361673066633</v>
      </c>
      <c r="I22">
        <v>21</v>
      </c>
      <c r="J22">
        <v>0.88087361673066633</v>
      </c>
    </row>
    <row r="23" spans="1:14">
      <c r="A23">
        <v>39</v>
      </c>
      <c r="B23">
        <f t="shared" si="0"/>
        <v>1.9034512618096402</v>
      </c>
      <c r="C23">
        <f t="shared" si="1"/>
        <v>6.7090090788187604</v>
      </c>
      <c r="D23">
        <f t="shared" si="2"/>
        <v>0.87028164193662771</v>
      </c>
      <c r="I23">
        <v>22</v>
      </c>
      <c r="J23">
        <v>0.87028164193662771</v>
      </c>
    </row>
    <row r="24" spans="1:14">
      <c r="A24">
        <v>40</v>
      </c>
      <c r="B24">
        <f t="shared" si="0"/>
        <v>1.8061733361304895</v>
      </c>
      <c r="C24">
        <f t="shared" si="1"/>
        <v>6.0871094855326735</v>
      </c>
      <c r="D24">
        <f t="shared" si="2"/>
        <v>0.8588987510294066</v>
      </c>
      <c r="I24">
        <v>23</v>
      </c>
      <c r="J24">
        <v>0.8588987510294066</v>
      </c>
    </row>
    <row r="25" spans="1:14">
      <c r="A25">
        <v>41</v>
      </c>
      <c r="B25">
        <f t="shared" si="0"/>
        <v>1.7088954104513383</v>
      </c>
      <c r="C25">
        <f t="shared" si="1"/>
        <v>5.5228576163121925</v>
      </c>
      <c r="D25">
        <f t="shared" si="2"/>
        <v>0.84669295900324026</v>
      </c>
      <c r="I25">
        <v>24</v>
      </c>
      <c r="J25">
        <v>0.84669295900324026</v>
      </c>
    </row>
    <row r="26" spans="1:14">
      <c r="A26">
        <v>42</v>
      </c>
      <c r="B26">
        <f t="shared" si="0"/>
        <v>1.6116174847721876</v>
      </c>
      <c r="C26">
        <f t="shared" si="1"/>
        <v>5.010909746662529</v>
      </c>
      <c r="D26">
        <f t="shared" si="2"/>
        <v>0.83363583182142509</v>
      </c>
      <c r="I26">
        <v>25</v>
      </c>
      <c r="J26">
        <v>0.83363583182142509</v>
      </c>
    </row>
    <row r="27" spans="1:14">
      <c r="A27">
        <v>43</v>
      </c>
      <c r="B27">
        <f t="shared" si="0"/>
        <v>1.5143395590930364</v>
      </c>
      <c r="C27">
        <f t="shared" si="1"/>
        <v>4.5464174950003198</v>
      </c>
      <c r="D27">
        <f t="shared" si="2"/>
        <v>0.81970343903944753</v>
      </c>
      <c r="I27">
        <v>26</v>
      </c>
      <c r="J27">
        <v>0.81970343903944753</v>
      </c>
    </row>
    <row r="28" spans="1:14">
      <c r="A28">
        <v>44</v>
      </c>
      <c r="B28">
        <f t="shared" si="0"/>
        <v>1.4170616334138852</v>
      </c>
      <c r="C28">
        <f t="shared" si="1"/>
        <v>4.1249819062520521</v>
      </c>
      <c r="D28">
        <f t="shared" si="2"/>
        <v>0.80487735990246456</v>
      </c>
      <c r="I28">
        <v>27</v>
      </c>
      <c r="J28">
        <v>0.80487735990246456</v>
      </c>
    </row>
    <row r="29" spans="1:14">
      <c r="A29">
        <v>45</v>
      </c>
      <c r="B29">
        <f t="shared" si="0"/>
        <v>1.319783707734735</v>
      </c>
      <c r="C29">
        <f t="shared" si="1"/>
        <v>3.7426117917280339</v>
      </c>
      <c r="D29">
        <f t="shared" si="2"/>
        <v>0.78914571887494989</v>
      </c>
      <c r="I29">
        <v>28</v>
      </c>
      <c r="J29">
        <v>0.78914571887494989</v>
      </c>
    </row>
    <row r="30" spans="1:14">
      <c r="A30">
        <v>46</v>
      </c>
      <c r="B30">
        <f t="shared" si="0"/>
        <v>1.2225057820555838</v>
      </c>
      <c r="C30">
        <f t="shared" si="1"/>
        <v>3.3956859307314069</v>
      </c>
      <c r="D30">
        <f t="shared" si="2"/>
        <v>0.77250421987414186</v>
      </c>
      <c r="I30">
        <v>29</v>
      </c>
      <c r="J30">
        <v>0.77250421987414186</v>
      </c>
    </row>
    <row r="31" spans="1:14">
      <c r="A31">
        <v>47</v>
      </c>
      <c r="B31">
        <f t="shared" si="0"/>
        <v>1.1252278563764326</v>
      </c>
      <c r="C31">
        <f t="shared" si="1"/>
        <v>3.0809187759340886</v>
      </c>
      <c r="D31">
        <f t="shared" si="2"/>
        <v>0.75495714202958897</v>
      </c>
      <c r="I31">
        <v>30</v>
      </c>
      <c r="J31">
        <v>0.75495714202958897</v>
      </c>
    </row>
    <row r="32" spans="1:14">
      <c r="A32">
        <v>48</v>
      </c>
      <c r="B32">
        <f t="shared" si="0"/>
        <v>1.0279499306972815</v>
      </c>
      <c r="C32">
        <f t="shared" si="1"/>
        <v>2.7953293377337407</v>
      </c>
      <c r="D32">
        <f t="shared" si="2"/>
        <v>0.73651825414520733</v>
      </c>
      <c r="I32">
        <v>31</v>
      </c>
      <c r="J32">
        <v>0.73651825414520733</v>
      </c>
    </row>
    <row r="33" spans="1:10">
      <c r="A33">
        <v>49</v>
      </c>
      <c r="B33">
        <f t="shared" si="0"/>
        <v>0.9306720050181303</v>
      </c>
      <c r="C33">
        <f t="shared" si="1"/>
        <v>2.5362129529123676</v>
      </c>
      <c r="D33">
        <f t="shared" si="2"/>
        <v>0.7172116008521443</v>
      </c>
      <c r="I33">
        <v>32</v>
      </c>
      <c r="J33">
        <v>0.7172116008521443</v>
      </c>
    </row>
    <row r="34" spans="1:10">
      <c r="A34">
        <v>50</v>
      </c>
      <c r="B34">
        <f t="shared" si="0"/>
        <v>0.83339407933898002</v>
      </c>
      <c r="C34">
        <f t="shared" si="1"/>
        <v>2.3011156702327611</v>
      </c>
      <c r="D34">
        <f t="shared" si="2"/>
        <v>0.69707211140241865</v>
      </c>
      <c r="I34">
        <v>33</v>
      </c>
      <c r="J34">
        <v>0.69707211140241865</v>
      </c>
    </row>
    <row r="35" spans="1:10">
      <c r="A35">
        <v>51</v>
      </c>
      <c r="B35">
        <f t="shared" si="0"/>
        <v>0.73611615365982885</v>
      </c>
      <c r="C35">
        <f t="shared" si="1"/>
        <v>2.0878110103925982</v>
      </c>
      <c r="D35">
        <f t="shared" si="2"/>
        <v>0.67614598282268079</v>
      </c>
      <c r="I35">
        <v>34</v>
      </c>
      <c r="J35">
        <v>0.67614598282268079</v>
      </c>
    </row>
    <row r="36" spans="1:10">
      <c r="A36">
        <v>52</v>
      </c>
      <c r="B36">
        <f t="shared" si="0"/>
        <v>0.63883822798067769</v>
      </c>
      <c r="C36">
        <f t="shared" si="1"/>
        <v>1.8942788802423163</v>
      </c>
      <c r="D36">
        <f t="shared" si="2"/>
        <v>0.65449079325891446</v>
      </c>
      <c r="I36">
        <v>35</v>
      </c>
      <c r="J36">
        <v>0.65449079325891446</v>
      </c>
    </row>
    <row r="37" spans="1:10">
      <c r="A37">
        <v>53</v>
      </c>
      <c r="B37">
        <f t="shared" si="0"/>
        <v>0.54156030230152652</v>
      </c>
      <c r="C37">
        <f t="shared" si="1"/>
        <v>1.7186864415746761</v>
      </c>
      <c r="D37">
        <f t="shared" si="2"/>
        <v>0.63217530910964659</v>
      </c>
      <c r="I37">
        <v>36</v>
      </c>
      <c r="J37">
        <v>0.63217530910964659</v>
      </c>
    </row>
    <row r="38" spans="1:10">
      <c r="A38">
        <v>54</v>
      </c>
      <c r="B38">
        <f t="shared" si="0"/>
        <v>0.44428237662237624</v>
      </c>
      <c r="C38">
        <f t="shared" si="1"/>
        <v>1.5593707533046897</v>
      </c>
      <c r="D38">
        <f t="shared" si="2"/>
        <v>0.60927896096773471</v>
      </c>
      <c r="I38">
        <v>37</v>
      </c>
      <c r="J38">
        <v>0.60927896096773471</v>
      </c>
    </row>
    <row r="39" spans="1:10">
      <c r="A39">
        <v>55</v>
      </c>
      <c r="B39">
        <f t="shared" si="0"/>
        <v>0.34700445094322507</v>
      </c>
      <c r="C39">
        <f t="shared" si="1"/>
        <v>1.4148230226533616</v>
      </c>
      <c r="D39">
        <f t="shared" si="2"/>
        <v>0.58589097808864721</v>
      </c>
      <c r="I39">
        <v>38</v>
      </c>
      <c r="J39">
        <v>0.58589097808864721</v>
      </c>
    </row>
    <row r="40" spans="1:10">
      <c r="A40">
        <v>56</v>
      </c>
      <c r="B40">
        <f t="shared" si="0"/>
        <v>0.24972652526407391</v>
      </c>
      <c r="C40">
        <f t="shared" si="1"/>
        <v>1.283674316186737</v>
      </c>
      <c r="D40">
        <f t="shared" si="2"/>
        <v>0.56210918828837519</v>
      </c>
      <c r="I40">
        <v>39</v>
      </c>
      <c r="J40">
        <v>0.56210918828837519</v>
      </c>
    </row>
    <row r="41" spans="1:10">
      <c r="A41">
        <v>57</v>
      </c>
      <c r="B41">
        <f t="shared" si="0"/>
        <v>0.15244859958492274</v>
      </c>
      <c r="C41">
        <f t="shared" si="1"/>
        <v>1.1646825953872044</v>
      </c>
      <c r="D41">
        <f t="shared" si="2"/>
        <v>0.53803850867977876</v>
      </c>
      <c r="I41">
        <v>40</v>
      </c>
      <c r="J41">
        <v>0.53803850867977876</v>
      </c>
    </row>
    <row r="42" spans="1:10">
      <c r="A42">
        <v>58</v>
      </c>
      <c r="B42">
        <f t="shared" si="0"/>
        <v>5.517067390577246E-2</v>
      </c>
      <c r="C42">
        <f t="shared" si="1"/>
        <v>1.0567209539779769</v>
      </c>
      <c r="D42">
        <f t="shared" si="2"/>
        <v>0.51378917102688892</v>
      </c>
      <c r="I42">
        <v>41</v>
      </c>
      <c r="J42">
        <v>0.51378917102688892</v>
      </c>
    </row>
    <row r="43" spans="1:10">
      <c r="A43">
        <v>59</v>
      </c>
      <c r="B43">
        <f t="shared" si="0"/>
        <v>-4.2107251773378707E-2</v>
      </c>
      <c r="C43">
        <f t="shared" si="1"/>
        <v>0.95876694560279396</v>
      </c>
      <c r="D43">
        <f t="shared" si="2"/>
        <v>0.48947474213566611</v>
      </c>
      <c r="I43">
        <v>42</v>
      </c>
      <c r="J43">
        <v>0.48947474213566611</v>
      </c>
    </row>
    <row r="44" spans="1:10">
      <c r="A44">
        <v>60</v>
      </c>
      <c r="B44">
        <f t="shared" si="0"/>
        <v>-0.13938517745252987</v>
      </c>
      <c r="C44">
        <f t="shared" si="1"/>
        <v>0.86989290078908421</v>
      </c>
      <c r="D44">
        <f t="shared" si="2"/>
        <v>0.46521001305582488</v>
      </c>
      <c r="I44">
        <v>43</v>
      </c>
      <c r="J44">
        <v>0.46521001305582488</v>
      </c>
    </row>
    <row r="45" spans="1:10">
      <c r="A45">
        <v>61</v>
      </c>
      <c r="B45">
        <f t="shared" si="0"/>
        <v>-0.23666310313168104</v>
      </c>
      <c r="C45">
        <f t="shared" si="1"/>
        <v>0.78925714149176074</v>
      </c>
      <c r="D45">
        <f t="shared" si="2"/>
        <v>0.44110883963482855</v>
      </c>
      <c r="I45">
        <v>44</v>
      </c>
      <c r="J45">
        <v>0.44110883963482855</v>
      </c>
    </row>
    <row r="46" spans="1:10">
      <c r="A46">
        <v>62</v>
      </c>
      <c r="B46">
        <f t="shared" si="0"/>
        <v>-0.33394102881083132</v>
      </c>
      <c r="C46">
        <f t="shared" si="1"/>
        <v>0.71609601001535439</v>
      </c>
      <c r="D46">
        <f t="shared" si="2"/>
        <v>0.41728202025768202</v>
      </c>
      <c r="I46">
        <v>45</v>
      </c>
      <c r="J46">
        <v>0.41728202025768202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1EEAA3-C12A-E341-8082-E5E138D3830A}">
  <dimension ref="A1:G22"/>
  <sheetViews>
    <sheetView showGridLines="0" workbookViewId="0">
      <selection activeCell="G10" sqref="G10"/>
    </sheetView>
  </sheetViews>
  <sheetFormatPr baseColWidth="10" defaultRowHeight="15"/>
  <cols>
    <col min="1" max="1" width="14.1640625" style="6" bestFit="1" customWidth="1"/>
    <col min="2" max="2" width="6.1640625" bestFit="1" customWidth="1"/>
    <col min="3" max="3" width="14.5" bestFit="1" customWidth="1"/>
    <col min="4" max="4" width="6.1640625" bestFit="1" customWidth="1"/>
    <col min="5" max="5" width="9.33203125" bestFit="1" customWidth="1"/>
    <col min="6" max="6" width="17.83203125" bestFit="1" customWidth="1"/>
  </cols>
  <sheetData>
    <row r="1" spans="1:7" ht="24">
      <c r="A1" s="19" t="s">
        <v>14</v>
      </c>
      <c r="B1" s="19"/>
      <c r="C1" s="19"/>
      <c r="D1" s="19"/>
      <c r="E1" s="19"/>
    </row>
    <row r="2" spans="1:7" ht="19">
      <c r="A2" s="15" t="s">
        <v>10</v>
      </c>
      <c r="B2" s="13" t="s">
        <v>19</v>
      </c>
      <c r="C2" s="13" t="s">
        <v>11</v>
      </c>
      <c r="D2" s="14" t="s">
        <v>20</v>
      </c>
      <c r="E2" s="14" t="s">
        <v>21</v>
      </c>
      <c r="G2" t="s">
        <v>22</v>
      </c>
    </row>
    <row r="3" spans="1:7">
      <c r="A3" s="6" t="s">
        <v>26</v>
      </c>
      <c r="B3" s="7">
        <v>98</v>
      </c>
      <c r="C3" s="8">
        <f>B3*0.031</f>
        <v>3.0379999999999998</v>
      </c>
      <c r="D3" s="9">
        <v>8</v>
      </c>
      <c r="E3" s="10">
        <f>D3*0.021</f>
        <v>0.16800000000000001</v>
      </c>
    </row>
    <row r="4" spans="1:7">
      <c r="A4" s="6" t="s">
        <v>27</v>
      </c>
      <c r="B4" s="7">
        <v>771</v>
      </c>
      <c r="C4" s="8">
        <f t="shared" ref="C4:C22" si="0">B4*0.031</f>
        <v>23.901</v>
      </c>
      <c r="D4" s="9">
        <v>132</v>
      </c>
      <c r="E4" s="10">
        <f t="shared" ref="E4:E22" si="1">D4*0.021</f>
        <v>2.7720000000000002</v>
      </c>
    </row>
    <row r="5" spans="1:7">
      <c r="A5" s="6" t="s">
        <v>28</v>
      </c>
      <c r="B5" s="7">
        <v>829</v>
      </c>
      <c r="C5" s="8">
        <f t="shared" si="0"/>
        <v>25.698999999999998</v>
      </c>
      <c r="D5" s="9">
        <v>3584</v>
      </c>
      <c r="E5" s="10">
        <f t="shared" si="1"/>
        <v>75.26400000000001</v>
      </c>
    </row>
    <row r="6" spans="1:7">
      <c r="A6" s="6">
        <v>0</v>
      </c>
      <c r="B6" s="7">
        <v>357</v>
      </c>
      <c r="C6" s="8">
        <f t="shared" si="0"/>
        <v>11.067</v>
      </c>
      <c r="D6" s="9">
        <v>2263</v>
      </c>
      <c r="E6" s="10">
        <f t="shared" si="1"/>
        <v>47.523000000000003</v>
      </c>
    </row>
    <row r="7" spans="1:7">
      <c r="A7" s="6">
        <v>1</v>
      </c>
      <c r="B7" s="11">
        <v>349</v>
      </c>
      <c r="C7" s="8">
        <f t="shared" si="0"/>
        <v>10.818999999999999</v>
      </c>
      <c r="D7" s="9">
        <v>2985</v>
      </c>
      <c r="E7" s="10">
        <f t="shared" si="1"/>
        <v>62.685000000000002</v>
      </c>
    </row>
    <row r="8" spans="1:7">
      <c r="A8" s="6">
        <v>2</v>
      </c>
      <c r="B8" s="7">
        <v>531</v>
      </c>
      <c r="C8" s="8">
        <f t="shared" si="0"/>
        <v>16.460999999999999</v>
      </c>
      <c r="D8" s="9">
        <v>3461</v>
      </c>
      <c r="E8" s="10">
        <f t="shared" si="1"/>
        <v>72.681000000000012</v>
      </c>
    </row>
    <row r="9" spans="1:7">
      <c r="A9" s="6">
        <v>3</v>
      </c>
      <c r="B9" s="7">
        <v>663</v>
      </c>
      <c r="C9" s="8">
        <f t="shared" si="0"/>
        <v>20.553000000000001</v>
      </c>
      <c r="D9" s="9">
        <v>3340</v>
      </c>
      <c r="E9" s="10">
        <f t="shared" si="1"/>
        <v>70.14</v>
      </c>
    </row>
    <row r="10" spans="1:7">
      <c r="A10" s="6">
        <v>4</v>
      </c>
      <c r="B10" s="7">
        <v>942</v>
      </c>
      <c r="C10" s="8">
        <f t="shared" si="0"/>
        <v>29.201999999999998</v>
      </c>
      <c r="D10" s="9">
        <v>2782</v>
      </c>
      <c r="E10" s="10">
        <f t="shared" si="1"/>
        <v>58.422000000000004</v>
      </c>
    </row>
    <row r="11" spans="1:7">
      <c r="A11" s="6">
        <v>5</v>
      </c>
      <c r="B11" s="7">
        <v>1133</v>
      </c>
      <c r="C11" s="8">
        <f t="shared" si="0"/>
        <v>35.122999999999998</v>
      </c>
      <c r="D11" s="12">
        <v>2086</v>
      </c>
      <c r="E11" s="10">
        <f t="shared" si="1"/>
        <v>43.806000000000004</v>
      </c>
    </row>
    <row r="12" spans="1:7">
      <c r="A12" s="6">
        <v>6</v>
      </c>
      <c r="B12" s="7">
        <v>1109</v>
      </c>
      <c r="C12" s="8">
        <f t="shared" si="0"/>
        <v>34.378999999999998</v>
      </c>
      <c r="D12" s="9">
        <v>1496</v>
      </c>
      <c r="E12" s="10">
        <f t="shared" si="1"/>
        <v>31.416</v>
      </c>
    </row>
    <row r="13" spans="1:7">
      <c r="A13" s="6">
        <v>7</v>
      </c>
      <c r="B13" s="7">
        <v>1039</v>
      </c>
      <c r="C13" s="8">
        <f t="shared" si="0"/>
        <v>32.209000000000003</v>
      </c>
      <c r="D13" s="9">
        <v>1076</v>
      </c>
      <c r="E13" s="10">
        <f t="shared" si="1"/>
        <v>22.596</v>
      </c>
    </row>
    <row r="14" spans="1:7">
      <c r="A14" s="6">
        <v>8</v>
      </c>
      <c r="B14" s="7">
        <v>986</v>
      </c>
      <c r="C14" s="8">
        <f t="shared" si="0"/>
        <v>30.565999999999999</v>
      </c>
      <c r="D14" s="9">
        <v>775</v>
      </c>
      <c r="E14" s="10">
        <f t="shared" si="1"/>
        <v>16.275000000000002</v>
      </c>
    </row>
    <row r="15" spans="1:7">
      <c r="A15" s="6">
        <v>9</v>
      </c>
      <c r="B15" s="7">
        <v>1206</v>
      </c>
      <c r="C15" s="8">
        <f t="shared" si="0"/>
        <v>37.386000000000003</v>
      </c>
      <c r="D15" s="9">
        <v>891</v>
      </c>
      <c r="E15" s="10">
        <f t="shared" si="1"/>
        <v>18.711000000000002</v>
      </c>
    </row>
    <row r="16" spans="1:7">
      <c r="A16" s="6">
        <v>10</v>
      </c>
      <c r="B16" s="7">
        <v>511</v>
      </c>
      <c r="C16" s="8">
        <f t="shared" si="0"/>
        <v>15.840999999999999</v>
      </c>
      <c r="D16" s="12">
        <v>364</v>
      </c>
      <c r="E16" s="10">
        <f t="shared" si="1"/>
        <v>7.6440000000000001</v>
      </c>
    </row>
    <row r="17" spans="1:5">
      <c r="A17" s="6" t="s">
        <v>15</v>
      </c>
      <c r="B17" s="7">
        <v>2224</v>
      </c>
      <c r="C17" s="8">
        <f t="shared" si="0"/>
        <v>68.944000000000003</v>
      </c>
      <c r="D17" s="9">
        <v>1146</v>
      </c>
      <c r="E17" s="10">
        <f t="shared" si="1"/>
        <v>24.066000000000003</v>
      </c>
    </row>
    <row r="18" spans="1:5">
      <c r="A18" s="6" t="s">
        <v>16</v>
      </c>
      <c r="B18" s="7">
        <v>1854</v>
      </c>
      <c r="C18" s="8">
        <f t="shared" si="0"/>
        <v>57.473999999999997</v>
      </c>
      <c r="D18" s="9">
        <v>700</v>
      </c>
      <c r="E18" s="10">
        <f t="shared" si="1"/>
        <v>14.700000000000001</v>
      </c>
    </row>
    <row r="19" spans="1:5">
      <c r="A19" s="6" t="s">
        <v>17</v>
      </c>
      <c r="B19" s="7">
        <v>1744</v>
      </c>
      <c r="C19" s="8">
        <f t="shared" si="0"/>
        <v>54.064</v>
      </c>
      <c r="D19" s="12">
        <v>477</v>
      </c>
      <c r="E19" s="10">
        <f t="shared" si="1"/>
        <v>10.017000000000001</v>
      </c>
    </row>
    <row r="20" spans="1:5">
      <c r="A20" s="6" t="s">
        <v>12</v>
      </c>
      <c r="B20" s="7">
        <v>1030</v>
      </c>
      <c r="C20" s="8">
        <f t="shared" si="0"/>
        <v>31.93</v>
      </c>
      <c r="D20" s="9">
        <v>272</v>
      </c>
      <c r="E20" s="10">
        <f t="shared" si="1"/>
        <v>5.7120000000000006</v>
      </c>
    </row>
    <row r="21" spans="1:5">
      <c r="A21" s="6" t="s">
        <v>13</v>
      </c>
      <c r="B21" s="7">
        <v>380</v>
      </c>
      <c r="C21" s="8">
        <f t="shared" si="0"/>
        <v>11.78</v>
      </c>
      <c r="D21" s="9">
        <v>108</v>
      </c>
      <c r="E21" s="10">
        <f t="shared" si="1"/>
        <v>2.2680000000000002</v>
      </c>
    </row>
    <row r="22" spans="1:5">
      <c r="A22" s="6" t="s">
        <v>18</v>
      </c>
      <c r="B22" s="7">
        <v>62</v>
      </c>
      <c r="C22" s="8">
        <f t="shared" si="0"/>
        <v>1.9219999999999999</v>
      </c>
      <c r="D22" s="9">
        <v>31</v>
      </c>
      <c r="E22" s="10">
        <f t="shared" si="1"/>
        <v>0.65100000000000002</v>
      </c>
    </row>
  </sheetData>
  <mergeCells count="1">
    <mergeCell ref="A1:E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80CE04-8478-9043-9D60-4401DD048EFB}">
  <dimension ref="A1:D3"/>
  <sheetViews>
    <sheetView tabSelected="1" workbookViewId="0">
      <selection sqref="A1:D3"/>
    </sheetView>
  </sheetViews>
  <sheetFormatPr baseColWidth="10" defaultRowHeight="15"/>
  <sheetData>
    <row r="1" spans="1:4">
      <c r="B1" t="s">
        <v>29</v>
      </c>
      <c r="C1" t="s">
        <v>30</v>
      </c>
    </row>
    <row r="2" spans="1:4" ht="16">
      <c r="A2" t="s">
        <v>31</v>
      </c>
      <c r="B2" s="18">
        <v>7125</v>
      </c>
      <c r="C2" s="18">
        <v>3085</v>
      </c>
      <c r="D2" s="20">
        <f>C2/B2</f>
        <v>0.43298245614035086</v>
      </c>
    </row>
    <row r="3" spans="1:4" ht="16">
      <c r="A3" t="s">
        <v>32</v>
      </c>
      <c r="B3" s="18">
        <v>6420</v>
      </c>
      <c r="C3" s="18">
        <v>3385</v>
      </c>
      <c r="D3" s="20">
        <f>C3/B3</f>
        <v>0.52725856697819318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EE1CC63-0429-4374-97E2-29729EA47EF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2017 Fieldgoal Data</vt:lpstr>
      <vt:lpstr>Logistic Regression</vt:lpstr>
      <vt:lpstr>Probability By Yardage</vt:lpstr>
      <vt:lpstr>Rush Pass Yards Gained</vt:lpstr>
      <vt:lpstr>Optimal First Down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Charlie Puntillo</cp:lastModifiedBy>
  <dcterms:created xsi:type="dcterms:W3CDTF">2018-04-10T18:44:27Z</dcterms:created>
  <dcterms:modified xsi:type="dcterms:W3CDTF">2018-04-19T15:25:14Z</dcterms:modified>
</cp:coreProperties>
</file>